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inghsak_kecrpg_com/Documents/DPR/DPR of 220kV and 132kV Neemuch Chandaria TL and SS as on 27 July 2026/"/>
    </mc:Choice>
  </mc:AlternateContent>
  <xr:revisionPtr revIDLastSave="4315" documentId="8_{16FA9FDA-04F7-4315-B5A3-F2AC902332DB}" xr6:coauthVersionLast="47" xr6:coauthVersionMax="47" xr10:uidLastSave="{6CAB2D02-3E02-472A-B082-41BB0828F817}"/>
  <bookViews>
    <workbookView xWindow="-120" yWindow="-120" windowWidth="20730" windowHeight="11040" firstSheet="4" activeTab="4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'Progress-132kV'!$A$5:$BA$89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'Stringing-132KV'!$A$5:$Z$53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'VC-132kV'!$A$1:$AY$54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8" i="14" l="1"/>
  <c r="AS36" i="14"/>
  <c r="AW14" i="14"/>
  <c r="AW22" i="14"/>
  <c r="AW31" i="14"/>
  <c r="AX14" i="14"/>
  <c r="AH148" i="15"/>
  <c r="BA123" i="15"/>
  <c r="BA137" i="15" s="1"/>
  <c r="BB15" i="15"/>
  <c r="BA15" i="15"/>
  <c r="BB132" i="15"/>
  <c r="BA132" i="15"/>
  <c r="L3" i="16"/>
  <c r="V3" i="16"/>
  <c r="M15" i="5"/>
  <c r="H3" i="9"/>
  <c r="E3" i="9"/>
  <c r="U3" i="9"/>
  <c r="B87" i="9"/>
  <c r="B88" i="9"/>
  <c r="P22" i="13"/>
  <c r="P1" i="13"/>
  <c r="P8" i="13"/>
  <c r="P13" i="13"/>
  <c r="Y3" i="16"/>
  <c r="U53" i="16"/>
  <c r="U52" i="16"/>
  <c r="U51" i="16"/>
  <c r="U50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AX22" i="14"/>
  <c r="K44" i="16"/>
  <c r="L44" i="16" s="1"/>
  <c r="I38" i="16" l="1"/>
  <c r="K38" i="16" s="1"/>
  <c r="L38" i="16" s="1"/>
  <c r="X23" i="9"/>
  <c r="X22" i="9"/>
  <c r="X21" i="9"/>
  <c r="X20" i="9"/>
  <c r="X19" i="9"/>
  <c r="X18" i="9"/>
  <c r="X17" i="9"/>
  <c r="X16" i="9"/>
  <c r="U16" i="9"/>
  <c r="U23" i="9"/>
  <c r="U22" i="9"/>
  <c r="U21" i="9"/>
  <c r="U20" i="9"/>
  <c r="U19" i="9"/>
  <c r="U18" i="9"/>
  <c r="U17" i="9"/>
  <c r="AF89" i="7"/>
  <c r="K23" i="16"/>
  <c r="L23" i="16" s="1"/>
  <c r="K24" i="16"/>
  <c r="L24" i="16" s="1"/>
  <c r="AV89" i="7"/>
  <c r="AQ89" i="7"/>
  <c r="AL89" i="7"/>
  <c r="I30" i="5"/>
  <c r="I29" i="5"/>
  <c r="Q15" i="5"/>
  <c r="AX31" i="14"/>
  <c r="BI411" i="8" l="1"/>
  <c r="M13" i="5" s="1"/>
  <c r="BB411" i="8"/>
  <c r="AV411" i="8"/>
  <c r="M11" i="5" s="1"/>
  <c r="AM411" i="8"/>
  <c r="M10" i="5" s="1"/>
  <c r="BA6" i="15"/>
  <c r="BB6" i="15" s="1"/>
  <c r="AU126" i="15"/>
  <c r="BA24" i="15"/>
  <c r="I31" i="5"/>
  <c r="I16" i="5"/>
  <c r="I15" i="5"/>
  <c r="I17" i="5" l="1"/>
  <c r="BB42" i="15"/>
  <c r="AW36" i="14" l="1"/>
  <c r="BA42" i="15"/>
  <c r="BA33" i="15"/>
  <c r="BB33" i="15" s="1"/>
  <c r="AH46" i="7"/>
  <c r="AX36" i="14"/>
  <c r="AH47" i="14" s="1"/>
  <c r="AW137" i="15"/>
  <c r="AX137" i="15"/>
  <c r="AY137" i="15"/>
  <c r="BB123" i="15"/>
  <c r="AZ137" i="15" s="1"/>
  <c r="BA114" i="15"/>
  <c r="BA105" i="15"/>
  <c r="BA96" i="15"/>
  <c r="BA87" i="15"/>
  <c r="BA78" i="15"/>
  <c r="BA69" i="15"/>
  <c r="BA60" i="15"/>
  <c r="BA51" i="15"/>
  <c r="BB51" i="15" s="1"/>
  <c r="AU36" i="15"/>
  <c r="AU47" i="15"/>
  <c r="AU63" i="15"/>
  <c r="AU72" i="15"/>
  <c r="AU81" i="15"/>
  <c r="AU90" i="15"/>
  <c r="AU99" i="15"/>
  <c r="AU108" i="15"/>
  <c r="AU117" i="15"/>
  <c r="P400" i="8" l="1"/>
  <c r="P402" i="8"/>
  <c r="M30" i="5" l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 s="1"/>
  <c r="AP376" i="8" s="1"/>
  <c r="AN376" i="8"/>
  <c r="BE374" i="8"/>
  <c r="AR374" i="8"/>
  <c r="AQ374" i="8" s="1"/>
  <c r="AP374" i="8" s="1"/>
  <c r="AN374" i="8"/>
  <c r="BE372" i="8"/>
  <c r="AR372" i="8"/>
  <c r="AQ372" i="8" s="1"/>
  <c r="AP372" i="8" s="1"/>
  <c r="BE370" i="8"/>
  <c r="AX370" i="8"/>
  <c r="AY370" i="8" s="1"/>
  <c r="AR370" i="8"/>
  <c r="AQ370" i="8" s="1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 s="1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M31" i="5"/>
  <c r="X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P10" i="13"/>
  <c r="BB105" i="15"/>
  <c r="I3" i="9"/>
  <c r="K15" i="5" s="1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G33" i="11"/>
  <c r="G32" i="11"/>
  <c r="G31" i="11"/>
  <c r="G30" i="11"/>
  <c r="G29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N14" i="7"/>
  <c r="K14" i="7"/>
  <c r="N12" i="7"/>
  <c r="K12" i="7"/>
  <c r="N10" i="7"/>
  <c r="K10" i="7"/>
  <c r="E14" i="7"/>
  <c r="F14" i="7" s="1"/>
  <c r="E12" i="7"/>
  <c r="F12" i="7" s="1"/>
  <c r="E10" i="7"/>
  <c r="F10" i="7" s="1"/>
  <c r="E20" i="7"/>
  <c r="F20" i="7" s="1"/>
  <c r="X16" i="7"/>
  <c r="N16" i="7"/>
  <c r="I16" i="7"/>
  <c r="H16" i="7"/>
  <c r="G16" i="7"/>
  <c r="E16" i="7"/>
  <c r="F16" i="7" s="1"/>
  <c r="A12" i="7"/>
  <c r="A14" i="7" s="1"/>
  <c r="A16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A86" i="7" s="1"/>
  <c r="J16" i="7" l="1"/>
  <c r="N15" i="5"/>
  <c r="G25" i="11"/>
  <c r="G27" i="11"/>
  <c r="G28" i="11"/>
  <c r="Q24" i="5" l="1"/>
  <c r="N8" i="5"/>
  <c r="H20" i="13"/>
  <c r="AU135" i="15" l="1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42" i="14"/>
  <c r="AT36" i="14"/>
  <c r="AH43" i="14" s="1"/>
  <c r="AK43" i="14" s="1"/>
  <c r="AU36" i="14"/>
  <c r="AH44" i="14" s="1"/>
  <c r="AK44" i="14" s="1"/>
  <c r="AV36" i="14"/>
  <c r="AH45" i="14" s="1"/>
  <c r="AK45" i="14" s="1"/>
  <c r="AH46" i="14"/>
  <c r="AK46" i="14" s="1"/>
  <c r="AK40" i="14"/>
  <c r="AK41" i="14"/>
  <c r="AK47" i="14"/>
  <c r="AK48" i="14"/>
  <c r="BB137" i="15" l="1"/>
  <c r="AH147" i="15" s="1"/>
  <c r="AU136" i="15"/>
  <c r="AE148" i="15" s="1"/>
  <c r="AK148" i="15" s="1"/>
  <c r="AH142" i="15"/>
  <c r="AK142" i="15" s="1"/>
  <c r="AN2" i="14"/>
  <c r="AN38" i="14"/>
  <c r="AJ398" i="8"/>
  <c r="AK398" i="8" s="1"/>
  <c r="AR160" i="8"/>
  <c r="BK62" i="8"/>
  <c r="BJ64" i="8"/>
  <c r="AQ160" i="8"/>
  <c r="AP158" i="8"/>
  <c r="AP160" i="8" s="1"/>
  <c r="AH146" i="15"/>
  <c r="AK42" i="14"/>
  <c r="K31" i="5"/>
  <c r="H27" i="13" s="1"/>
  <c r="I26" i="13"/>
  <c r="I25" i="13"/>
  <c r="K23" i="5"/>
  <c r="I19" i="13" s="1"/>
  <c r="I18" i="13"/>
  <c r="K14" i="5"/>
  <c r="K8" i="5"/>
  <c r="X70" i="9"/>
  <c r="X69" i="9"/>
  <c r="U70" i="9"/>
  <c r="U69" i="9"/>
  <c r="BE122" i="8"/>
  <c r="BF122" i="8" s="1"/>
  <c r="N27" i="13"/>
  <c r="M27" i="13"/>
  <c r="K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J26" i="13" s="1"/>
  <c r="D26" i="13"/>
  <c r="N25" i="13"/>
  <c r="M25" i="13"/>
  <c r="K25" i="13"/>
  <c r="H25" i="13"/>
  <c r="G25" i="13"/>
  <c r="F25" i="13"/>
  <c r="E25" i="13"/>
  <c r="J25" i="13" s="1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G12" i="13"/>
  <c r="F12" i="13"/>
  <c r="E12" i="13"/>
  <c r="D12" i="13"/>
  <c r="N11" i="13"/>
  <c r="M11" i="13"/>
  <c r="J11" i="13"/>
  <c r="J12" i="13" s="1"/>
  <c r="H11" i="13"/>
  <c r="G11" i="13"/>
  <c r="F11" i="13"/>
  <c r="E11" i="13"/>
  <c r="D11" i="13"/>
  <c r="N9" i="13"/>
  <c r="M9" i="13"/>
  <c r="J9" i="13"/>
  <c r="H9" i="13"/>
  <c r="G9" i="13"/>
  <c r="F9" i="13"/>
  <c r="E9" i="13"/>
  <c r="D9" i="13"/>
  <c r="J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A1" i="13"/>
  <c r="G36" i="11"/>
  <c r="G35" i="11"/>
  <c r="G34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T3" i="9"/>
  <c r="M16" i="5"/>
  <c r="K16" i="5" s="1"/>
  <c r="K3" i="9"/>
  <c r="D3" i="9"/>
  <c r="A2" i="9"/>
  <c r="A1" i="9"/>
  <c r="BD411" i="8"/>
  <c r="AO411" i="8"/>
  <c r="K10" i="5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3" i="7"/>
  <c r="AE92" i="7"/>
  <c r="AD92" i="7"/>
  <c r="AC92" i="7"/>
  <c r="AB92" i="7"/>
  <c r="AA92" i="7"/>
  <c r="Z92" i="7"/>
  <c r="Y92" i="7"/>
  <c r="M26" i="5"/>
  <c r="K26" i="5" s="1"/>
  <c r="S89" i="7"/>
  <c r="AI86" i="7"/>
  <c r="AH86" i="7" s="1"/>
  <c r="AG86" i="7" s="1"/>
  <c r="X86" i="7"/>
  <c r="N86" i="7"/>
  <c r="J86" i="7"/>
  <c r="E86" i="7"/>
  <c r="F86" i="7" s="1"/>
  <c r="AR84" i="7"/>
  <c r="AN84" i="7"/>
  <c r="AI84" i="7"/>
  <c r="AH84" i="7" s="1"/>
  <c r="AG84" i="7" s="1"/>
  <c r="X84" i="7"/>
  <c r="N84" i="7"/>
  <c r="I84" i="7"/>
  <c r="H84" i="7"/>
  <c r="G84" i="7"/>
  <c r="E84" i="7"/>
  <c r="F84" i="7" s="1"/>
  <c r="AR82" i="7"/>
  <c r="AI82" i="7"/>
  <c r="AH82" i="7" s="1"/>
  <c r="AG82" i="7" s="1"/>
  <c r="X82" i="7"/>
  <c r="M82" i="7"/>
  <c r="L82" i="7"/>
  <c r="J82" i="7"/>
  <c r="AR80" i="7"/>
  <c r="AI80" i="7"/>
  <c r="AH80" i="7" s="1"/>
  <c r="AG80" i="7" s="1"/>
  <c r="X80" i="7"/>
  <c r="M80" i="7"/>
  <c r="L80" i="7"/>
  <c r="J80" i="7"/>
  <c r="AI78" i="7"/>
  <c r="AH78" i="7" s="1"/>
  <c r="AG78" i="7" s="1"/>
  <c r="X78" i="7"/>
  <c r="N78" i="7"/>
  <c r="I78" i="7"/>
  <c r="H78" i="7"/>
  <c r="G78" i="7"/>
  <c r="E78" i="7"/>
  <c r="F78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M66" i="7"/>
  <c r="L66" i="7"/>
  <c r="J66" i="7"/>
  <c r="X64" i="7"/>
  <c r="M64" i="7"/>
  <c r="L64" i="7"/>
  <c r="J64" i="7"/>
  <c r="X62" i="7"/>
  <c r="N62" i="7"/>
  <c r="I62" i="7"/>
  <c r="H62" i="7"/>
  <c r="G62" i="7"/>
  <c r="E62" i="7"/>
  <c r="F62" i="7" s="1"/>
  <c r="X60" i="7"/>
  <c r="N60" i="7"/>
  <c r="I60" i="7"/>
  <c r="H60" i="7"/>
  <c r="G60" i="7"/>
  <c r="E60" i="7"/>
  <c r="F60" i="7" s="1"/>
  <c r="X58" i="7"/>
  <c r="N58" i="7"/>
  <c r="I58" i="7"/>
  <c r="H58" i="7"/>
  <c r="G58" i="7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E54" i="7"/>
  <c r="F54" i="7" s="1"/>
  <c r="X52" i="7"/>
  <c r="N52" i="7"/>
  <c r="I52" i="7"/>
  <c r="H52" i="7"/>
  <c r="G52" i="7"/>
  <c r="E52" i="7"/>
  <c r="F52" i="7" s="1"/>
  <c r="X50" i="7"/>
  <c r="N50" i="7"/>
  <c r="I50" i="7"/>
  <c r="H50" i="7"/>
  <c r="G50" i="7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E44" i="7"/>
  <c r="F44" i="7" s="1"/>
  <c r="X42" i="7"/>
  <c r="N42" i="7"/>
  <c r="I42" i="7"/>
  <c r="H42" i="7"/>
  <c r="G42" i="7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E38" i="7"/>
  <c r="F38" i="7" s="1"/>
  <c r="X36" i="7"/>
  <c r="M36" i="7"/>
  <c r="L36" i="7"/>
  <c r="J36" i="7"/>
  <c r="X34" i="7"/>
  <c r="M34" i="7"/>
  <c r="L34" i="7"/>
  <c r="J34" i="7"/>
  <c r="X32" i="7"/>
  <c r="N32" i="7"/>
  <c r="I32" i="7"/>
  <c r="H32" i="7"/>
  <c r="G32" i="7"/>
  <c r="E32" i="7"/>
  <c r="F32" i="7" s="1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A2" i="7"/>
  <c r="A1" i="7"/>
  <c r="A1" i="6"/>
  <c r="Q31" i="5"/>
  <c r="O27" i="13" s="1"/>
  <c r="N31" i="5"/>
  <c r="L27" i="13" s="1"/>
  <c r="J27" i="13"/>
  <c r="N30" i="5"/>
  <c r="L26" i="13" s="1"/>
  <c r="Q29" i="5"/>
  <c r="O25" i="13" s="1"/>
  <c r="N29" i="5"/>
  <c r="L25" i="13" s="1"/>
  <c r="O23" i="13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O11" i="13"/>
  <c r="AQ14" i="5"/>
  <c r="Q13" i="5"/>
  <c r="O9" i="13" s="1"/>
  <c r="O8" i="13"/>
  <c r="Q10" i="5"/>
  <c r="O6" i="13" s="1"/>
  <c r="Q9" i="5"/>
  <c r="O5" i="13" s="1"/>
  <c r="M9" i="5"/>
  <c r="K9" i="5" s="1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9" i="4"/>
  <c r="A7" i="4"/>
  <c r="A6" i="4"/>
  <c r="A8" i="4" s="1"/>
  <c r="A10" i="4" s="1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8" i="3"/>
  <c r="A16" i="3"/>
  <c r="A14" i="3"/>
  <c r="A12" i="3"/>
  <c r="A10" i="3"/>
  <c r="A9" i="3"/>
  <c r="A11" i="3" s="1"/>
  <c r="A13" i="3" s="1"/>
  <c r="A15" i="3" s="1"/>
  <c r="A17" i="3" s="1"/>
  <c r="A19" i="3" s="1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0" i="2"/>
  <c r="A9" i="2"/>
  <c r="A11" i="2" s="1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I27" i="13" l="1"/>
  <c r="J44" i="7"/>
  <c r="J52" i="7"/>
  <c r="J60" i="7"/>
  <c r="AE141" i="15"/>
  <c r="AH141" i="15"/>
  <c r="AE146" i="15"/>
  <c r="AK146" i="15" s="1"/>
  <c r="J40" i="7"/>
  <c r="J56" i="7"/>
  <c r="N36" i="7"/>
  <c r="N64" i="7"/>
  <c r="BI5" i="8"/>
  <c r="H12" i="13"/>
  <c r="I12" i="13"/>
  <c r="AE147" i="15"/>
  <c r="AK147" i="15" s="1"/>
  <c r="AE140" i="15"/>
  <c r="AH140" i="15"/>
  <c r="AM5" i="8"/>
  <c r="M27" i="5"/>
  <c r="K19" i="13"/>
  <c r="M24" i="5"/>
  <c r="M25" i="5"/>
  <c r="K25" i="5" s="1"/>
  <c r="I21" i="13" s="1"/>
  <c r="K21" i="13" s="1"/>
  <c r="J46" i="7"/>
  <c r="J84" i="7"/>
  <c r="J32" i="7"/>
  <c r="J20" i="7"/>
  <c r="J54" i="7"/>
  <c r="J50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4" i="7"/>
  <c r="N34" i="7"/>
  <c r="N66" i="7"/>
  <c r="J68" i="7"/>
  <c r="J38" i="7"/>
  <c r="J22" i="7"/>
  <c r="J26" i="7"/>
  <c r="N82" i="7"/>
  <c r="J70" i="7"/>
  <c r="J78" i="7"/>
  <c r="J30" i="7"/>
  <c r="N80" i="7"/>
  <c r="J48" i="7"/>
  <c r="J24" i="7"/>
  <c r="J62" i="7"/>
  <c r="J76" i="7"/>
  <c r="J28" i="7"/>
  <c r="J72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2" i="7"/>
  <c r="P5" i="8"/>
  <c r="AB1" i="8"/>
  <c r="K8" i="13"/>
  <c r="AC1" i="8"/>
  <c r="J58" i="7"/>
  <c r="AP120" i="8"/>
  <c r="AK1" i="8"/>
  <c r="AB5" i="8"/>
  <c r="AK5" i="8"/>
  <c r="K22" i="13"/>
  <c r="AK141" i="15" l="1"/>
  <c r="I20" i="13"/>
  <c r="K20" i="13" s="1"/>
  <c r="K9" i="13"/>
  <c r="N13" i="5"/>
  <c r="L9" i="13" s="1"/>
  <c r="K27" i="5"/>
  <c r="I23" i="13" s="1"/>
  <c r="AK140" i="15"/>
  <c r="L6" i="13"/>
  <c r="I9" i="13"/>
  <c r="N27" i="5"/>
  <c r="L23" i="13" s="1"/>
  <c r="K23" i="13"/>
  <c r="N24" i="5"/>
  <c r="L20" i="13" s="1"/>
  <c r="N25" i="5"/>
  <c r="L21" i="13" s="1"/>
  <c r="N11" i="5"/>
  <c r="L7" i="13" s="1"/>
  <c r="K7" i="13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<sst xmlns="http://schemas.openxmlformats.org/spreadsheetml/2006/main" count="11709" uniqueCount="770">
  <si>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</si>
  <si>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</si>
  <si>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</si>
  <si>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</si>
  <si>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</si>
  <si>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</si>
  <si>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</si>
  <si>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</si>
  <si>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</si>
  <si>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</si>
  <si>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</si>
  <si>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</si>
  <si>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</si>
  <si>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</si>
  <si>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</si>
  <si>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</si>
  <si>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</si>
  <si>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</si>
  <si>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</si>
  <si>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</si>
  <si>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</si>
  <si>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</si>
  <si>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</si>
  <si>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</si>
  <si>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</si>
  <si>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</si>
  <si>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</si>
  <si>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</si>
  <si>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</si>
  <si>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</si>
  <si>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</si>
  <si>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</si>
  <si>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</si>
  <si>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</si>
  <si>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</si>
  <si>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</si>
  <si>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</si>
  <si>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</si>
  <si>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</si>
  <si>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</si>
  <si>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</si>
  <si>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</si>
  <si>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</si>
  <si>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</si>
  <si>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</si>
  <si>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</si>
  <si>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</si>
  <si>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</si>
  <si>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</si>
  <si>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</si>
  <si>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</si>
  <si>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</si>
  <si>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</si>
  <si>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</si>
  <si>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</si>
  <si>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</si>
  <si>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</si>
  <si>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</si>
  <si>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</si>
  <si>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</si>
  <si>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</si>
  <si>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</si>
  <si>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</si>
  <si>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</si>
  <si>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</si>
  <si>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</si>
  <si>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</si>
  <si>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</si>
  <si>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</si>
  <si>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</si>
  <si>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</si>
  <si>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</si>
  <si>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</si>
  <si>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</si>
  <si>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</si>
  <si>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</si>
  <si>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</si>
  <si>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</si>
  <si>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</si>
  <si>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</si>
  <si>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</si>
  <si>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</si>
  <si>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</si>
  <si>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</si>
  <si>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</si>
  <si>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</si>
  <si>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</si>
  <si>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</si>
  <si>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</si>
  <si>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</si>
  <si>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</si>
  <si>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</si>
  <si>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</si>
  <si>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</si>
  <si>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</si>
  <si>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</si>
  <si>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</si>
  <si>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</si>
  <si>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</si>
  <si>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</si>
  <si>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</si>
  <si>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</si>
  <si>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</si>
  <si>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</si>
  <si>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</si>
  <si>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</si>
  <si>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</si>
  <si>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</si>
  <si>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</si>
  <si>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</si>
  <si>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</si>
  <si>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</si>
  <si>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</si>
  <si>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</si>
  <si>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</si>
  <si>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</si>
  <si>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</si>
  <si>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</si>
  <si>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</si>
  <si>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</si>
  <si>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</si>
  <si>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</si>
  <si>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</si>
  <si>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</si>
  <si>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</si>
  <si>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</si>
  <si>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</si>
  <si>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</si>
  <si>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</si>
  <si>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</si>
  <si>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</si>
  <si>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</si>
  <si>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</si>
  <si>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</si>
  <si>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</si>
  <si>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</si>
  <si>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</si>
  <si>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</si>
  <si>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</si>
  <si>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</si>
  <si>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</si>
  <si>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</si>
  <si>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</si>
  <si>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</si>
  <si>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</si>
  <si>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</si>
  <si>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</si>
  <si>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</si>
  <si>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</si>
  <si>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</si>
  <si>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</si>
  <si>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</si>
  <si>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</si>
  <si>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</si>
  <si>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</si>
  <si>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</si>
  <si>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</si>
  <si>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</si>
  <si>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</si>
  <si>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</si>
  <si>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</si>
  <si>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</si>
  <si>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</si>
  <si>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</si>
  <si>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</si>
  <si>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</si>
  <si>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</si>
  <si>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</si>
  <si>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</si>
  <si>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</si>
  <si>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</si>
  <si>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</si>
  <si>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</si>
  <si>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</si>
  <si>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</si>
  <si>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</si>
  <si>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</si>
  <si>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</si>
  <si>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</si>
  <si>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</si>
  <si>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</si>
  <si>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</si>
  <si>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</si>
  <si>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</si>
  <si>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</si>
  <si>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</si>
  <si>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</si>
  <si>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</si>
  <si>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</si>
  <si>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</si>
  <si>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</si>
  <si>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</si>
  <si>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</si>
  <si>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</si>
  <si>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</si>
  <si>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</si>
  <si>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</si>
  <si>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</si>
  <si>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</si>
  <si>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</si>
  <si>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</si>
  <si>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</si>
  <si>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</si>
  <si>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</si>
  <si>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</si>
  <si>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</si>
  <si>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</si>
  <si>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</si>
  <si>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</si>
  <si>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</si>
  <si>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</si>
  <si>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</si>
  <si>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</si>
  <si>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</si>
  <si>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</si>
  <si>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</si>
  <si>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</si>
  <si>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</si>
  <si>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</si>
  <si>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</si>
  <si>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</si>
  <si>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</si>
  <si>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</si>
  <si>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</si>
  <si>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</si>
  <si>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</si>
  <si>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</si>
  <si>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</si>
  <si>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</si>
  <si>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</si>
  <si>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</si>
  <si>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</si>
  <si>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</si>
  <si>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</si>
  <si>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</si>
  <si>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</si>
  <si>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</si>
  <si>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</si>
  <si>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</si>
  <si>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</si>
  <si>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</si>
  <si>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</si>
  <si>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</si>
  <si>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</si>
  <si>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</si>
  <si>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</si>
  <si>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</si>
  <si>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</si>
  <si>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</si>
  <si>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</si>
  <si>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</si>
  <si>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</si>
  <si>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</si>
  <si>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</si>
  <si>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</si>
  <si>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</si>
  <si>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</si>
  <si>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</si>
  <si>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</si>
  <si>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</si>
  <si>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</si>
  <si>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</si>
  <si>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</si>
  <si>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</si>
  <si>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</si>
  <si>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</si>
  <si>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</si>
  <si>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</si>
  <si>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</si>
  <si>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</si>
  <si>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</si>
  <si>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</si>
  <si>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</si>
  <si>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</si>
  <si>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</si>
  <si>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</si>
  <si>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</si>
  <si>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</si>
  <si>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</si>
  <si>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</si>
  <si>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</si>
  <si>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</si>
  <si>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</si>
  <si>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</si>
  <si>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</si>
  <si>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</si>
  <si>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</si>
  <si>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</si>
  <si>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</si>
  <si>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</si>
  <si>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</si>
  <si>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</si>
  <si>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</si>
  <si>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</si>
  <si>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</si>
  <si>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</si>
  <si>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</si>
  <si>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</si>
  <si>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</si>
  <si>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</si>
  <si>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</si>
  <si>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</si>
  <si>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</si>
  <si>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</si>
  <si>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</si>
  <si>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</si>
  <si>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</si>
  <si>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</si>
  <si>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</si>
  <si>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</si>
  <si>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</si>
  <si>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</si>
  <si>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</si>
  <si>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</si>
  <si>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</si>
  <si>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</si>
  <si>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</si>
  <si>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</si>
  <si>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</si>
  <si>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</si>
  <si>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</si>
  <si>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</si>
  <si>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</si>
  <si>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</si>
  <si>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</si>
  <si>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</si>
  <si>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</si>
  <si>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</si>
  <si>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</si>
  <si>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</si>
  <si>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</si>
  <si>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</si>
  <si>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</si>
  <si>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</si>
  <si>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</si>
  <si>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</si>
  <si>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</si>
  <si>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</si>
  <si>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</si>
  <si>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</si>
  <si>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</si>
  <si>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</si>
  <si>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</si>
  <si>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</si>
  <si>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</si>
  <si>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</si>
  <si>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</si>
  <si>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</si>
  <si>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</si>
  <si>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</si>
  <si>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</si>
  <si>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</si>
  <si>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</si>
  <si>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</si>
  <si>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</si>
  <si>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</si>
  <si>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</si>
  <si>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</si>
  <si>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</si>
  <si>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</si>
  <si>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</si>
  <si>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</si>
  <si>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</si>
  <si>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</si>
  <si>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</si>
  <si>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</si>
  <si>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</si>
  <si>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</si>
  <si>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</si>
  <si>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</si>
  <si>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</si>
  <si>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</si>
  <si>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</si>
  <si>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</si>
  <si>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</si>
  <si>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</si>
  <si>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</si>
  <si>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</si>
  <si>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</si>
  <si>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</si>
  <si>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</si>
  <si>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</si>
  <si>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</si>
  <si>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</si>
  <si>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</si>
  <si>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</si>
  <si>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</si>
  <si>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</si>
  <si>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</si>
  <si>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</si>
  <si>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</si>
  <si>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</si>
  <si>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</si>
  <si>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</si>
  <si>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</si>
  <si>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</si>
  <si>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</si>
  <si>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</si>
  <si>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</si>
  <si>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</si>
  <si>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</si>
  <si>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</si>
  <si>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</si>
  <si>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</si>
  <si>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</si>
  <si>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</si>
  <si>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</si>
  <si>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</si>
  <si>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</si>
  <si>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</si>
  <si>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</si>
  <si>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</si>
  <si>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</si>
  <si>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</si>
  <si>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</si>
  <si>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</si>
  <si>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</si>
  <si>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</si>
  <si>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</si>
  <si>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</si>
  <si>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</si>
  <si>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</si>
  <si>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</si>
  <si>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</si>
  <si>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</si>
  <si>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</si>
  <si>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</si>
  <si>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</si>
  <si>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</si>
  <si>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</si>
  <si>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</si>
  <si>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</si>
  <si>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</si>
  <si>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</si>
  <si>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</si>
  <si>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</si>
  <si>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</si>
  <si>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</si>
  <si>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</si>
  <si>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</si>
  <si>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</si>
  <si>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</si>
  <si>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</si>
  <si>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</si>
  <si>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</si>
  <si>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</si>
  <si>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</si>
  <si>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</si>
  <si>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</si>
  <si>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</si>
  <si>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</si>
  <si>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</si>
  <si>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</si>
  <si>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</si>
  <si>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</si>
  <si>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</si>
  <si>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</si>
  <si>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</si>
  <si>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</si>
  <si>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</si>
  <si>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</si>
  <si>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</si>
  <si>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</si>
  <si>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</si>
  <si>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</si>
  <si>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</si>
  <si>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</si>
  <si>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</si>
  <si>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</si>
  <si>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</si>
  <si>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</si>
  <si>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</si>
  <si>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</si>
  <si>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</si>
  <si>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</si>
  <si>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</si>
  <si>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</si>
  <si>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</si>
  <si>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</si>
  <si>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</si>
  <si>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</si>
  <si>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</si>
  <si>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</si>
  <si>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</si>
  <si>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</si>
  <si>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</si>
  <si>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</si>
  <si>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</si>
  <si>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</si>
  <si>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</si>
  <si>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</si>
  <si>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</si>
  <si>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</si>
  <si>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</si>
  <si>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</si>
  <si>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</si>
  <si>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</si>
  <si>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</si>
  <si>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</si>
  <si>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</si>
  <si>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</si>
  <si>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</si>
  <si>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</si>
  <si>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</si>
  <si>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</si>
  <si>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</si>
  <si>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</si>
  <si>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</si>
  <si>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</si>
  <si>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</si>
  <si>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</si>
  <si>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</si>
  <si>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</si>
  <si>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</si>
  <si>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</si>
  <si>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</si>
  <si>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</si>
  <si>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</si>
  <si>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</si>
  <si>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</si>
  <si>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</si>
  <si>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</si>
  <si>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</si>
  <si>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</si>
  <si>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</si>
  <si>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</si>
  <si>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</si>
  <si>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</si>
  <si>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</si>
  <si>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</si>
  <si>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</si>
  <si>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</si>
  <si>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</si>
  <si>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</si>
  <si>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</si>
  <si>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</si>
  <si>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</si>
  <si>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</si>
  <si>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</si>
  <si>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</si>
  <si>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</si>
  <si>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</si>
  <si>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</si>
  <si>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</si>
  <si>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</si>
  <si>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</si>
  <si>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</si>
  <si>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</si>
  <si>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</si>
  <si>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</si>
  <si>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</si>
  <si>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</si>
  <si>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</si>
  <si>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</si>
  <si>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</si>
  <si>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</si>
  <si>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</si>
  <si>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</si>
  <si>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</si>
  <si>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</si>
  <si>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</si>
  <si>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</si>
  <si>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</si>
  <si>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</si>
  <si>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</si>
  <si>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</si>
  <si>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</si>
  <si>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</si>
  <si>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</si>
  <si>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</si>
  <si>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</si>
  <si>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</si>
  <si>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</si>
  <si>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</si>
  <si>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</si>
  <si>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</si>
  <si>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</si>
  <si>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</si>
  <si>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</si>
  <si>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</si>
  <si>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</si>
  <si>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</si>
  <si>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</si>
  <si>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</si>
  <si>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</si>
  <si>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</si>
  <si>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</si>
  <si>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</si>
  <si>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</si>
  <si>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</si>
  <si>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</si>
  <si>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</si>
  <si>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</si>
  <si>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</si>
  <si>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</si>
  <si>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</si>
  <si>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</si>
  <si>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</si>
  <si>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</si>
  <si>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</si>
  <si>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</si>
  <si>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</si>
  <si>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</si>
  <si>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</si>
  <si>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</si>
  <si>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</si>
  <si>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</si>
  <si>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</si>
  <si>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</si>
  <si>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</si>
  <si>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</si>
  <si>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</si>
  <si>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</si>
  <si>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</si>
  <si>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</si>
  <si>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</si>
  <si>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</si>
  <si>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</si>
  <si>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</si>
  <si>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</si>
  <si>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</si>
  <si>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</si>
  <si>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</si>
  <si>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</si>
  <si>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</si>
  <si>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Gantry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</si>
  <si>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</si>
  <si>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</si>
  <si>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</si>
  <si>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</si>
  <si>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</si>
  <si>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</si>
  <si>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</si>
  <si>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</si>
  <si>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</si>
  <si>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</si>
  <si>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</si>
  <si>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</si>
  <si>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</si>
  <si>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</si>
  <si>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</si>
  <si>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</si>
  <si>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</si>
  <si>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</si>
  <si>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</si>
  <si>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</si>
  <si>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</si>
  <si>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</si>
  <si>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</si>
  <si>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</si>
  <si>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</si>
  <si>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</si>
  <si>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</si>
  <si>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</si>
  <si>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</si>
  <si>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</si>
  <si>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</si>
  <si>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</si>
  <si>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</si>
  <si>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</si>
  <si>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</si>
  <si>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</si>
  <si>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</si>
  <si>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</si>
  <si>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</si>
  <si>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</si>
  <si>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</si>
  <si>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</si>
  <si>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</si>
  <si>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</si>
  <si>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</si>
  <si>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</si>
  <si>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</si>
  <si>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</si>
  <si>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</si>
  <si>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</si>
  <si>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</si>
  <si>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</si>
  <si>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</si>
  <si>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</si>
  <si>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</si>
  <si>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</si>
  <si>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</si>
  <si>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</si>
  <si>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</si>
  <si>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</si>
  <si>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</si>
  <si>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</si>
  <si>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</si>
  <si>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</si>
  <si>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</si>
  <si>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</si>
  <si>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</si>
  <si>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</si>
  <si>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</si>
  <si>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</si>
  <si>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</si>
  <si>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</si>
  <si>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</si>
  <si>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</si>
  <si>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Yash Infra</t>
  </si>
  <si>
    <t>220KV S/C RUMS Line</t>
  </si>
  <si>
    <t>132KV S/C RUMS Line</t>
  </si>
  <si>
    <t>33/1-34/0</t>
  </si>
  <si>
    <t>34/0-35/0</t>
  </si>
  <si>
    <t>4/1-4/2</t>
  </si>
  <si>
    <t>1/16/206</t>
  </si>
  <si>
    <t>Jai Swami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</si>
  <si>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</si>
  <si>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</si>
  <si>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</si>
  <si>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</si>
  <si>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</si>
  <si>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</si>
  <si>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</si>
  <si>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</si>
  <si>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</si>
  <si>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</si>
  <si>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</si>
  <si>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</si>
  <si>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</si>
  <si>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</si>
  <si>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</si>
  <si>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</si>
  <si>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</si>
  <si>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</si>
  <si>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</si>
  <si>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</si>
  <si>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</si>
  <si>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</si>
  <si>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</si>
  <si>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</si>
  <si>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</si>
  <si>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</si>
  <si>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</si>
  <si>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Exiting  Tower-7</t>
  </si>
  <si>
    <t>Sawariya seth</t>
  </si>
  <si>
    <t>Jyoti Construction</t>
  </si>
  <si>
    <t>Tokhan Mahto</t>
  </si>
  <si>
    <t>National Construction</t>
  </si>
  <si>
    <t>Yash infra</t>
  </si>
  <si>
    <t>Jai Sawami</t>
  </si>
  <si>
    <t>Navya Associate</t>
  </si>
  <si>
    <t>Chanderiya Gantry</t>
  </si>
  <si>
    <t>30/4/2026</t>
  </si>
  <si>
    <t>Buriya baba</t>
  </si>
  <si>
    <t>22/4/2026</t>
  </si>
  <si>
    <t>24/4/2026</t>
  </si>
  <si>
    <t>CPP</t>
  </si>
  <si>
    <t>SC-3</t>
  </si>
  <si>
    <t>Exiting Tower-1</t>
  </si>
  <si>
    <t>Exiting Tower-2</t>
  </si>
  <si>
    <t>Exiting Tower-3</t>
  </si>
  <si>
    <t>Exiting Tower-4</t>
  </si>
  <si>
    <t>Exiting Tower-5</t>
  </si>
  <si>
    <t>Exiting Tower-6</t>
  </si>
  <si>
    <t>Exiting Tower-7</t>
  </si>
  <si>
    <t>Hydro</t>
  </si>
  <si>
    <t>Sammirul Sekh</t>
  </si>
  <si>
    <t>Sc-5</t>
  </si>
  <si>
    <t>Prayag Saw</t>
  </si>
  <si>
    <t>Compney Team</t>
  </si>
  <si>
    <t>M K Construction</t>
  </si>
  <si>
    <t>GKFS Enterprises</t>
  </si>
  <si>
    <t xml:space="preserve">Ram singh </t>
  </si>
  <si>
    <t>13/062026</t>
  </si>
  <si>
    <t>Progress of Current Month (July'26)</t>
  </si>
  <si>
    <t>30-07-026</t>
  </si>
  <si>
    <t>SC-2 Erection WIP, Entire Balance work is from CPP to Hydro inside HZL (Additional Scope)</t>
  </si>
  <si>
    <t>6/0 Revetment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</si>
</sst>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&quot; &quot;;&quot; -&quot;#,##0.00&quot; &quot;;&quot; -&quot;#&quot; &quot;;@&quot; &quot;"/>
    <numFmt numFmtId="167" formatCode="[$-4009]0.00"/>
    <numFmt numFmtId="168" formatCode="#,##0.000"/>
    <numFmt numFmtId="169" formatCode="d/m/yyyy"/>
    <numFmt numFmtId="170" formatCode="[$-4009]0"/>
    <numFmt numFmtId="171" formatCode="0.000"/>
    <numFmt numFmtId="172" formatCode="[$-409]d\-mmm\-yy"/>
    <numFmt numFmtId="173" formatCode="0.0"/>
    <numFmt numFmtId="174" formatCode="_-* #,##0_-;\-* #,##0_-;_-* &quot;-&quot;??_-;_-@"/>
    <numFmt numFmtId="175" formatCode="0.00000"/>
    <numFmt numFmtId="176" formatCode="[$-F800]dddd\,\ mmmm\ dd\,\ yyyy"/>
    <numFmt numFmtId="177" formatCode="[$-409]d/mmm/yy"/>
    <numFmt numFmtId="178" formatCode="_-* #,##0.00_-;\-* #,##0.00_-;_-* &quot;-&quot;??_-;_-@"/>
    <numFmt numFmtId="179" formatCode="[$-409]d\-mmm\-yy;@"/>
    <numFmt numFmtId="180" formatCode="_-&quot;£&quot;* #,##0_-;\-&quot;£&quot;* #,##0_-;_-&quot;£&quot;* &quot;-&quot;_-;_-@_-"/>
    <numFmt numFmtId="181" formatCode="_-&quot;£&quot;* #,##0.00_-;\-&quot;£&quot;* #,##0.00_-;_-&quot;£&quot;* &quot;-&quot;??_-;_-@_-"/>
    <numFmt numFmtId="182" formatCode="_-* #,##0.00_-;\-* #,##0.00_-;_-* &quot;-&quot;??_-;_-@_-"/>
    <numFmt numFmtId="183" formatCode="[$-409]mmm/yy;@"/>
    <numFmt numFmtId="184" formatCode="[$-409]d/mmm/yy;@"/>
    <numFmt numFmtId="185" formatCode="#,##0.0000_);\(#,##0.0000\)"/>
    <numFmt numFmtId="186" formatCode="_-* #,##0\ &quot;F&quot;_-;\-* #,##0\ &quot;F&quot;_-;_-* &quot;-&quot;\ &quot;F&quot;_-;_-@_-"/>
    <numFmt numFmtId="187" formatCode="0.00000_)"/>
    <numFmt numFmtId="188" formatCode="_-* #,##0\ _F_-;\-* #,##0\ _F_-;_-* &quot;-&quot;\ _F_-;_-@_-"/>
    <numFmt numFmtId="189" formatCode="General_)"/>
    <numFmt numFmtId="190" formatCode="&quot;\&quot;#,##0.00;[Red]\-&quot;\&quot;#,##0.00"/>
    <numFmt numFmtId="191" formatCode="#,##0.0"/>
    <numFmt numFmtId="192" formatCode="&quot;Rs.&quot;#,##0.00_);\(&quot;Rs.&quot;#,##0.00\)"/>
    <numFmt numFmtId="193" formatCode="_-* #,##0\ _D_M_-;\-* #,##0\ _D_M_-;_-* &quot;-&quot;\ _D_M_-;_-@_-"/>
    <numFmt numFmtId="194" formatCode="_-* #,##0.00\ _D_M_-;\-* #,##0.00\ _D_M_-;_-* &quot;-&quot;??\ _D_M_-;_-@_-"/>
    <numFmt numFmtId="195" formatCode="_-* #,##0.00\ _F_-;\-* #,##0.00\ _F_-;_-* &quot;-&quot;??\ _F_-;_-@_-"/>
    <numFmt numFmtId="196" formatCode="_-* #,##0.00\ &quot;F&quot;_-;\-* #,##0.00\ &quot;F&quot;_-;_-* &quot;-&quot;??\ &quot;F&quot;_-;_-@_-"/>
    <numFmt numFmtId="197" formatCode="0.00_)"/>
    <numFmt numFmtId="198" formatCode="_ &quot;\&quot;* #,##0_ ;_ &quot;\&quot;* \-#,##0_ ;_ &quot;\&quot;* &quot;-&quot;_ ;_ @_ "/>
    <numFmt numFmtId="199" formatCode="_ &quot;\&quot;* #,##0.00_ ;_ &quot;\&quot;* \-#,##0.00_ ;_ &quot;\&quot;* &quot;-&quot;??_ ;_ @_ "/>
    <numFmt numFmtId="200" formatCode="&quot;Warning&quot;;&quot;Warning&quot;;&quot;OK&quot;"/>
    <numFmt numFmtId="201" formatCode="@\ &quot;mm.&quot;"/>
    <numFmt numFmtId="202" formatCode="\t#,##0_);\(\t#,##0\)"/>
    <numFmt numFmtId="203" formatCode="_(&quot;Rs.&quot;* #,##0_);_(&quot;Rs.&quot;* \(#,##0\);_(&quot;Rs.&quot;* &quot;-&quot;_);_(@_)"/>
    <numFmt numFmtId="204" formatCode="_(&quot;Rs.&quot;* #,##0.00_);_(&quot;Rs.&quot;* \(#,##0.00\);_(&quot;Rs.&quot;* &quot;-&quot;??_);_(@_)"/>
    <numFmt numFmtId="205" formatCode="_-* #,##0\ _k_r_-;\-* #,##0\ _k_r_-;_-* &quot;-&quot;\ _k_r_-;_-@_-"/>
    <numFmt numFmtId="206" formatCode="_-* #,##0.00\ _k_r_-;\-* #,##0.00\ _k_r_-;_-* &quot;-&quot;??\ _k_r_-;_-@_-"/>
    <numFmt numFmtId="207" formatCode="_-* #,##0.00\ [$€]_-;\-* #,##0.00\ [$€]_-;_-* &quot;-&quot;??\ [$€]_-;_-@_-"/>
    <numFmt numFmtId="208" formatCode="_([$€]* #,##0.00_);_([$€]* \(#,##0.00\);_([$€]* &quot;-&quot;??_);_(@_)"/>
    <numFmt numFmtId="209" formatCode="&quot;Rs.&quot;#,##0.00_);[Red]\(&quot;Rs.&quot;#,##0.00\)"/>
    <numFmt numFmtId="210" formatCode="#,##0_-;\ \(#,##0\);_-* &quot;-&quot;??;_-@_-"/>
    <numFmt numFmtId="211" formatCode="#."/>
    <numFmt numFmtId="212" formatCode="0.00\ &quot;x&quot;"/>
    <numFmt numFmtId="213" formatCode="_ &quot;CHF&quot;\ * #,##0_ ;_ &quot;CHF&quot;\ * \-#,##0_ ;_ &quot;CHF&quot;\ * &quot;-&quot;_ ;_ @_ "/>
    <numFmt numFmtId="214" formatCode="_ &quot;kr&quot;\ * #,##0_ ;_ &quot;kr&quot;\ * \-#,##0_ ;_ &quot;kr&quot;\ * &quot;-&quot;_ ;_ @_ "/>
    <numFmt numFmtId="215" formatCode="_ &quot;CHF&quot;\ * #,##0.00_ ;_ &quot;CHF&quot;\ * \-#,##0.00_ ;_ &quot;CHF&quot;\ * &quot;-&quot;??_ ;_ @_ "/>
    <numFmt numFmtId="216" formatCode="_-* #,##0\ &quot;kr&quot;_-;\-* #,##0\ &quot;kr&quot;_-;_-* &quot;-&quot;\ &quot;kr&quot;_-;_-@_-"/>
    <numFmt numFmtId="217" formatCode="_-* #,##0.00\ &quot;kr&quot;_-;\-* #,##0.00\ &quot;kr&quot;_-;_-* &quot;-&quot;??\ &quot;kr&quot;_-;_-@_-"/>
    <numFmt numFmtId="218" formatCode="[$-409]dd\-mmm\-yy;@"/>
    <numFmt numFmtId="219" formatCode="[$-409]dd/mmm/yy;@"/>
  </numFmts>
  <fonts count="15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Calibri"/>
      <family val="2"/>
      <scheme val="minor"/>
    </font>
    <font>
      <b/>
      <sz val="12"/>
      <color rgb="FF000000"/>
      <name val="Arial"/>
      <family val="2"/>
    </font>
  </fonts>
  <fills count="98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99FF99"/>
      </patternFill>
    </fill>
  </fills>
  <borders count="16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425">
    <xf numFmtId="0" fontId="0" fillId="0" borderId="0"/>
    <xf numFmtId="0" fontId="10" fillId="0" borderId="18"/>
    <xf numFmtId="0" fontId="39" fillId="0" borderId="18"/>
    <xf numFmtId="0" fontId="10" fillId="0" borderId="18"/>
    <xf numFmtId="0" fontId="40" fillId="0" borderId="18"/>
    <xf numFmtId="183" fontId="10" fillId="0" borderId="18"/>
    <xf numFmtId="183" fontId="40" fillId="0" borderId="18"/>
    <xf numFmtId="0" fontId="10" fillId="0" borderId="18"/>
    <xf numFmtId="0" fontId="40" fillId="0" borderId="18"/>
    <xf numFmtId="0" fontId="40" fillId="0" borderId="18"/>
    <xf numFmtId="0" fontId="42" fillId="0" borderId="18"/>
    <xf numFmtId="0" fontId="40" fillId="0" borderId="18"/>
    <xf numFmtId="0" fontId="40" fillId="0" borderId="18"/>
    <xf numFmtId="0" fontId="10" fillId="0" borderId="18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50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48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54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7" borderId="18" applyNumberFormat="0" applyBorder="0" applyAlignment="0" applyProtection="0"/>
    <xf numFmtId="0" fontId="45" fillId="57" borderId="18" applyNumberFormat="0" applyBorder="0" applyAlignment="0" applyProtection="0"/>
    <xf numFmtId="185" fontId="46" fillId="0" borderId="18" applyFont="0" applyFill="0" applyBorder="0" applyAlignment="0" applyProtection="0"/>
    <xf numFmtId="186" fontId="46" fillId="0" borderId="18" applyFont="0" applyFill="0" applyBorder="0" applyAlignment="0" applyProtection="0"/>
    <xf numFmtId="0" fontId="47" fillId="0" borderId="18"/>
    <xf numFmtId="0" fontId="47" fillId="0" borderId="18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187" fontId="46" fillId="0" borderId="18" applyFont="0" applyFill="0" applyBorder="0" applyAlignment="0" applyProtection="0"/>
    <xf numFmtId="188" fontId="46" fillId="0" borderId="18" applyFont="0" applyFill="0" applyBorder="0" applyAlignment="0" applyProtection="0"/>
    <xf numFmtId="189" fontId="44" fillId="0" borderId="86">
      <protection locked="0"/>
    </xf>
    <xf numFmtId="0" fontId="48" fillId="29" borderId="18" applyNumberFormat="0" applyBorder="0" applyAlignment="0" applyProtection="0"/>
    <xf numFmtId="0" fontId="49" fillId="58" borderId="18" applyNumberFormat="0" applyBorder="0" applyAlignment="0" applyProtection="0"/>
    <xf numFmtId="0" fontId="49" fillId="58" borderId="18" applyNumberFormat="0" applyBorder="0" applyAlignment="0" applyProtection="0"/>
    <xf numFmtId="38" fontId="50" fillId="0" borderId="18" applyFill="0" applyBorder="0" applyAlignment="0" applyProtection="0"/>
    <xf numFmtId="0" fontId="51" fillId="0" borderId="18"/>
    <xf numFmtId="0" fontId="52" fillId="59" borderId="87" applyNumberFormat="0" applyAlignment="0" applyProtection="0"/>
    <xf numFmtId="0" fontId="53" fillId="60" borderId="87" applyNumberFormat="0" applyAlignment="0" applyProtection="0"/>
    <xf numFmtId="0" fontId="53" fillId="60" borderId="87" applyNumberFormat="0" applyAlignment="0" applyProtection="0"/>
    <xf numFmtId="0" fontId="54" fillId="61" borderId="88" applyNumberFormat="0" applyAlignment="0" applyProtection="0"/>
    <xf numFmtId="0" fontId="54" fillId="48" borderId="88" applyNumberFormat="0" applyAlignment="0" applyProtection="0"/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89" fontId="55" fillId="0" borderId="89" applyNumberFormat="0" applyBorder="0" applyAlignment="0" applyProtection="0">
      <protection locked="0"/>
    </xf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0" fontId="60" fillId="30" borderId="18" applyNumberFormat="0" applyBorder="0" applyAlignment="0" applyProtection="0"/>
    <xf numFmtId="0" fontId="60" fillId="51" borderId="18" applyNumberFormat="0" applyBorder="0" applyAlignment="0" applyProtection="0"/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3" fillId="0" borderId="92" applyNumberFormat="0" applyFill="0" applyAlignment="0" applyProtection="0"/>
    <xf numFmtId="0" fontId="64" fillId="0" borderId="93" applyNumberFormat="0" applyFill="0" applyAlignment="0" applyProtection="0"/>
    <xf numFmtId="0" fontId="64" fillId="0" borderId="93" applyNumberFormat="0" applyFill="0" applyAlignment="0" applyProtection="0"/>
    <xf numFmtId="0" fontId="65" fillId="0" borderId="94" applyNumberFormat="0" applyFill="0" applyAlignment="0" applyProtection="0"/>
    <xf numFmtId="0" fontId="66" fillId="0" borderId="94" applyNumberFormat="0" applyFill="0" applyAlignment="0" applyProtection="0"/>
    <xf numFmtId="0" fontId="66" fillId="0" borderId="94" applyNumberFormat="0" applyFill="0" applyAlignment="0" applyProtection="0"/>
    <xf numFmtId="0" fontId="67" fillId="0" borderId="95" applyNumberFormat="0" applyFill="0" applyAlignment="0" applyProtection="0"/>
    <xf numFmtId="0" fontId="68" fillId="0" borderId="96" applyNumberFormat="0" applyFill="0" applyAlignment="0" applyProtection="0"/>
    <xf numFmtId="0" fontId="68" fillId="0" borderId="96" applyNumberFormat="0" applyFill="0" applyAlignment="0" applyProtection="0"/>
    <xf numFmtId="0" fontId="67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9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0" fontId="61" fillId="65" borderId="80" applyNumberFormat="0" applyBorder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2" fillId="0" borderId="97" applyNumberFormat="0" applyFill="0" applyAlignment="0" applyProtection="0"/>
    <xf numFmtId="0" fontId="73" fillId="0" borderId="97" applyNumberFormat="0" applyFill="0" applyAlignment="0" applyProtection="0"/>
    <xf numFmtId="0" fontId="73" fillId="0" borderId="97" applyNumberFormat="0" applyFill="0" applyAlignment="0" applyProtection="0"/>
    <xf numFmtId="193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88" fontId="40" fillId="0" borderId="18" applyFont="0" applyFill="0" applyBorder="0" applyAlignment="0" applyProtection="0"/>
    <xf numFmtId="195" fontId="40" fillId="0" borderId="18" applyFont="0" applyFill="0" applyBorder="0" applyAlignment="0" applyProtection="0"/>
    <xf numFmtId="186" fontId="40" fillId="0" borderId="18" applyFont="0" applyFill="0" applyBorder="0" applyAlignment="0" applyProtection="0"/>
    <xf numFmtId="196" fontId="40" fillId="0" borderId="18" applyFont="0" applyFill="0" applyBorder="0" applyAlignment="0" applyProtection="0"/>
    <xf numFmtId="0" fontId="74" fillId="66" borderId="18" applyNumberFormat="0" applyBorder="0" applyAlignment="0" applyProtection="0"/>
    <xf numFmtId="0" fontId="74" fillId="67" borderId="18" applyNumberFormat="0" applyBorder="0" applyAlignment="0" applyProtection="0"/>
    <xf numFmtId="0" fontId="74" fillId="67" borderId="18" applyNumberFormat="0" applyBorder="0" applyAlignment="0" applyProtection="0"/>
    <xf numFmtId="37" fontId="75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39" fillId="0" borderId="18"/>
    <xf numFmtId="0" fontId="10" fillId="0" borderId="18"/>
    <xf numFmtId="0" fontId="39" fillId="0" borderId="18"/>
    <xf numFmtId="0" fontId="10" fillId="0" borderId="18"/>
    <xf numFmtId="0" fontId="40" fillId="0" borderId="18"/>
    <xf numFmtId="0" fontId="40" fillId="0" borderId="18"/>
    <xf numFmtId="0" fontId="39" fillId="0" borderId="18"/>
    <xf numFmtId="0" fontId="39" fillId="0" borderId="18"/>
    <xf numFmtId="0" fontId="10" fillId="0" borderId="18"/>
    <xf numFmtId="0" fontId="1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39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2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42" fillId="0" borderId="18"/>
    <xf numFmtId="0" fontId="10" fillId="0" borderId="18"/>
    <xf numFmtId="0" fontId="39" fillId="0" borderId="18"/>
    <xf numFmtId="0" fontId="39" fillId="0" borderId="18"/>
    <xf numFmtId="0" fontId="39" fillId="0" borderId="18"/>
    <xf numFmtId="0" fontId="43" fillId="0" borderId="18"/>
    <xf numFmtId="0" fontId="4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39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10" fillId="0" borderId="18"/>
    <xf numFmtId="0" fontId="43" fillId="0" borderId="18"/>
    <xf numFmtId="0" fontId="40" fillId="0" borderId="18"/>
    <xf numFmtId="0" fontId="39" fillId="0" borderId="18"/>
    <xf numFmtId="0" fontId="10" fillId="0" borderId="18"/>
    <xf numFmtId="0" fontId="39" fillId="0" borderId="18"/>
    <xf numFmtId="0" fontId="43" fillId="0" borderId="18"/>
    <xf numFmtId="0" fontId="40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10" fillId="0" borderId="18"/>
    <xf numFmtId="0" fontId="40" fillId="0" borderId="18"/>
    <xf numFmtId="0" fontId="40" fillId="0" borderId="18"/>
    <xf numFmtId="0" fontId="77" fillId="0" borderId="18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46" borderId="98" applyNumberFormat="0" applyAlignment="0" applyProtection="0"/>
    <xf numFmtId="0" fontId="43" fillId="46" borderId="98" applyNumberFormat="0" applyAlignment="0" applyProtection="0"/>
    <xf numFmtId="0" fontId="78" fillId="59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0" fontId="80" fillId="0" borderId="18" applyNumberFormat="0" applyFill="0" applyBorder="0" applyAlignment="0" applyProtection="0"/>
    <xf numFmtId="0" fontId="81" fillId="0" borderId="18" applyNumberFormat="0" applyFill="0" applyBorder="0" applyAlignment="0" applyProtection="0">
      <alignment vertical="top"/>
      <protection locked="0"/>
    </xf>
    <xf numFmtId="0" fontId="50" fillId="0" borderId="18"/>
    <xf numFmtId="0" fontId="40" fillId="0" borderId="18"/>
    <xf numFmtId="0" fontId="40" fillId="0" borderId="18"/>
    <xf numFmtId="40" fontId="82" fillId="0" borderId="18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41" fillId="0" borderId="100" applyNumberFormat="0" applyFill="0" applyAlignment="0" applyProtection="0"/>
    <xf numFmtId="0" fontId="41" fillId="0" borderId="101" applyNumberFormat="0" applyFill="0" applyAlignment="0" applyProtection="0"/>
    <xf numFmtId="0" fontId="41" fillId="0" borderId="101" applyNumberFormat="0" applyFill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9" fontId="85" fillId="0" borderId="18" applyFont="0" applyFill="0" applyBorder="0" applyAlignment="0" applyProtection="0"/>
    <xf numFmtId="0" fontId="85" fillId="0" borderId="18"/>
    <xf numFmtId="0" fontId="87" fillId="0" borderId="18"/>
    <xf numFmtId="0" fontId="87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7" borderId="18" applyNumberFormat="0" applyBorder="0" applyAlignment="0" applyProtection="0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88" fillId="69" borderId="103" applyNumberFormat="0"/>
    <xf numFmtId="0" fontId="89" fillId="59" borderId="87" applyNumberFormat="0" applyAlignment="0" applyProtection="0"/>
    <xf numFmtId="0" fontId="53" fillId="60" borderId="87" applyNumberFormat="0" applyAlignment="0" applyProtection="0"/>
    <xf numFmtId="0" fontId="89" fillId="59" borderId="87" applyNumberFormat="0" applyAlignment="0" applyProtection="0"/>
    <xf numFmtId="0" fontId="52" fillId="59" borderId="87" applyNumberFormat="0" applyAlignment="0" applyProtection="0"/>
    <xf numFmtId="0" fontId="89" fillId="59" borderId="87" applyNumberFormat="0" applyAlignment="0" applyProtection="0"/>
    <xf numFmtId="0" fontId="90" fillId="70" borderId="104">
      <alignment horizontal="center"/>
    </xf>
    <xf numFmtId="0" fontId="91" fillId="0" borderId="18"/>
    <xf numFmtId="0" fontId="92" fillId="0" borderId="18">
      <alignment vertical="center"/>
    </xf>
    <xf numFmtId="200" fontId="93" fillId="71" borderId="105">
      <alignment horizontal="center"/>
    </xf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38" fontId="95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87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0" fontId="40" fillId="0" borderId="18"/>
    <xf numFmtId="0" fontId="40" fillId="0" borderId="18"/>
    <xf numFmtId="203" fontId="40" fillId="0" borderId="18">
      <protection locked="0"/>
    </xf>
    <xf numFmtId="203" fontId="40" fillId="0" borderId="18">
      <protection locked="0"/>
    </xf>
    <xf numFmtId="203" fontId="40" fillId="0" borderId="18">
      <protection locked="0"/>
    </xf>
    <xf numFmtId="0" fontId="86" fillId="0" borderId="18"/>
    <xf numFmtId="164" fontId="40" fillId="0" borderId="18" applyFont="0" applyFill="0" applyBorder="0" applyAlignment="0" applyProtection="0"/>
    <xf numFmtId="164" fontId="40" fillId="0" borderId="18" applyFont="0" applyFill="0" applyBorder="0" applyAlignment="0" applyProtection="0"/>
    <xf numFmtId="204" fontId="40" fillId="0" borderId="18">
      <protection locked="0"/>
    </xf>
    <xf numFmtId="204" fontId="40" fillId="0" borderId="18">
      <protection locked="0"/>
    </xf>
    <xf numFmtId="204" fontId="40" fillId="0" borderId="18">
      <protection locked="0"/>
    </xf>
    <xf numFmtId="0" fontId="96" fillId="0" borderId="18">
      <protection locked="0"/>
    </xf>
    <xf numFmtId="205" fontId="40" fillId="0" borderId="18" applyFont="0" applyFill="0" applyBorder="0" applyAlignment="0" applyProtection="0"/>
    <xf numFmtId="206" fontId="40" fillId="0" borderId="18" applyFont="0" applyFill="0" applyBorder="0" applyAlignment="0" applyProtection="0"/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40" fillId="72" borderId="80" applyNumberFormat="0"/>
    <xf numFmtId="0" fontId="97" fillId="73" borderId="106" applyNumberFormat="0" applyAlignment="0">
      <alignment horizontal="center"/>
    </xf>
    <xf numFmtId="207" fontId="40" fillId="0" borderId="18" applyFont="0" applyFill="0" applyBorder="0" applyAlignment="0" applyProtection="0"/>
    <xf numFmtId="184" fontId="40" fillId="0" borderId="18" applyFont="0" applyFill="0" applyBorder="0" applyAlignment="0" applyProtection="0"/>
    <xf numFmtId="208" fontId="40" fillId="0" borderId="18" applyFont="0" applyFill="0" applyBorder="0" applyAlignment="0" applyProtection="0"/>
    <xf numFmtId="0" fontId="40" fillId="74" borderId="18" applyNumberFormat="0" applyFont="0" applyAlignment="0"/>
    <xf numFmtId="209" fontId="40" fillId="0" borderId="18">
      <protection locked="0"/>
    </xf>
    <xf numFmtId="209" fontId="40" fillId="0" borderId="18">
      <protection locked="0"/>
    </xf>
    <xf numFmtId="209" fontId="40" fillId="0" borderId="18">
      <protection locked="0"/>
    </xf>
    <xf numFmtId="210" fontId="98" fillId="75" borderId="87"/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191" fontId="59" fillId="0" borderId="91">
      <alignment horizontal="right"/>
    </xf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40" fillId="76" borderId="105" applyNumberFormat="0" applyFont="0" applyAlignment="0"/>
    <xf numFmtId="0" fontId="99" fillId="0" borderId="18">
      <alignment horizontal="left"/>
    </xf>
    <xf numFmtId="0" fontId="100" fillId="0" borderId="18"/>
    <xf numFmtId="0" fontId="101" fillId="0" borderId="18">
      <alignment wrapText="1"/>
    </xf>
    <xf numFmtId="0" fontId="102" fillId="0" borderId="18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103" fillId="0" borderId="18"/>
    <xf numFmtId="0" fontId="62" fillId="0" borderId="18" applyNumberFormat="0" applyFill="0" applyBorder="0" applyAlignment="0"/>
    <xf numFmtId="0" fontId="103" fillId="0" borderId="18" applyNumberFormat="0" applyFill="0" applyBorder="0" applyAlignment="0"/>
    <xf numFmtId="211" fontId="104" fillId="0" borderId="18">
      <protection locked="0"/>
    </xf>
    <xf numFmtId="211" fontId="104" fillId="0" borderId="18">
      <protection locked="0"/>
    </xf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0" fontId="106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8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9" fillId="0" borderId="18" applyNumberFormat="0" applyFill="0" applyBorder="0" applyAlignment="0" applyProtection="0"/>
    <xf numFmtId="0" fontId="70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0" fontId="93" fillId="0" borderId="18" applyNumberFormat="0" applyFill="0" applyBorder="0">
      <alignment horizontal="left"/>
    </xf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1" fillId="77" borderId="18"/>
    <xf numFmtId="0" fontId="40" fillId="0" borderId="80" applyNumberFormat="0"/>
    <xf numFmtId="0" fontId="40" fillId="0" borderId="107" applyNumberFormat="0" applyFont="0" applyFill="0" applyAlignment="0"/>
    <xf numFmtId="0" fontId="112" fillId="0" borderId="102"/>
    <xf numFmtId="180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0" fontId="74" fillId="67" borderId="18" applyNumberFormat="0" applyBorder="0" applyAlignment="0" applyProtection="0"/>
    <xf numFmtId="37" fontId="75" fillId="0" borderId="18"/>
    <xf numFmtId="37" fontId="75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10" fillId="0" borderId="18"/>
    <xf numFmtId="0" fontId="37" fillId="0" borderId="18"/>
    <xf numFmtId="0" fontId="10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40" fillId="0" borderId="18"/>
    <xf numFmtId="0" fontId="43" fillId="0" borderId="18"/>
    <xf numFmtId="0" fontId="4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7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3" fillId="0" borderId="18"/>
    <xf numFmtId="0" fontId="44" fillId="0" borderId="18"/>
    <xf numFmtId="0" fontId="43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0" fillId="0" borderId="18"/>
    <xf numFmtId="0" fontId="87" fillId="0" borderId="18"/>
    <xf numFmtId="0" fontId="40" fillId="0" borderId="18"/>
    <xf numFmtId="0" fontId="87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4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4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43" fillId="0" borderId="18"/>
    <xf numFmtId="0" fontId="40" fillId="0" borderId="18"/>
    <xf numFmtId="0" fontId="43" fillId="0" borderId="18"/>
    <xf numFmtId="0" fontId="40" fillId="0" borderId="18"/>
    <xf numFmtId="0" fontId="43" fillId="0" borderId="18"/>
    <xf numFmtId="0" fontId="43" fillId="0" borderId="18"/>
    <xf numFmtId="0" fontId="43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44" fillId="0" borderId="18"/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4" fillId="0" borderId="18"/>
    <xf numFmtId="0" fontId="114" fillId="0" borderId="18"/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9" fillId="0" borderId="18"/>
    <xf numFmtId="0" fontId="39" fillId="0" borderId="18"/>
    <xf numFmtId="0" fontId="115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6" fillId="0" borderId="18"/>
    <xf numFmtId="0" fontId="10" fillId="0" borderId="18"/>
    <xf numFmtId="0" fontId="37" fillId="0" borderId="18"/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117" fillId="78" borderId="108" applyNumberFormat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118" fillId="59" borderId="99" applyNumberFormat="0" applyAlignment="0" applyProtection="0"/>
    <xf numFmtId="0" fontId="78" fillId="59" borderId="99" applyNumberFormat="0" applyAlignment="0" applyProtection="0"/>
    <xf numFmtId="0" fontId="118" fillId="59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8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9" fontId="40" fillId="0" borderId="18" applyFont="0" applyFill="0" applyBorder="0" applyAlignment="0" applyProtection="0"/>
    <xf numFmtId="0" fontId="119" fillId="79" borderId="109" applyNumberFormat="0">
      <alignment horizontal="center"/>
    </xf>
    <xf numFmtId="212" fontId="40" fillId="0" borderId="18" applyBorder="0"/>
    <xf numFmtId="0" fontId="120" fillId="77" borderId="18"/>
    <xf numFmtId="0" fontId="121" fillId="77" borderId="18"/>
    <xf numFmtId="0" fontId="122" fillId="77" borderId="18"/>
    <xf numFmtId="0" fontId="81" fillId="0" borderId="18" applyNumberFormat="0" applyFill="0" applyBorder="0" applyAlignment="0" applyProtection="0">
      <alignment vertical="top"/>
      <protection locked="0"/>
    </xf>
    <xf numFmtId="0" fontId="81" fillId="0" borderId="18" applyNumberFormat="0" applyFill="0" applyBorder="0" applyAlignment="0" applyProtection="0">
      <alignment vertical="top"/>
      <protection locked="0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12" fillId="0" borderId="18"/>
    <xf numFmtId="0" fontId="44" fillId="0" borderId="18">
      <alignment horizontal="right"/>
    </xf>
    <xf numFmtId="0" fontId="44" fillId="0" borderId="18">
      <alignment horizontal="right"/>
    </xf>
    <xf numFmtId="0" fontId="124" fillId="0" borderId="85">
      <alignment horizontal="center" vertical="top"/>
    </xf>
    <xf numFmtId="0" fontId="125" fillId="80" borderId="78" applyNumberFormat="0">
      <alignment horizontal="center" vertical="center"/>
    </xf>
    <xf numFmtId="0" fontId="93" fillId="76" borderId="105">
      <alignment horizontal="left"/>
    </xf>
    <xf numFmtId="0" fontId="61" fillId="0" borderId="110" applyNumberFormat="0" applyProtection="0"/>
    <xf numFmtId="0" fontId="40" fillId="0" borderId="18" applyProtection="0"/>
    <xf numFmtId="0" fontId="40" fillId="0" borderId="18" applyProtection="0"/>
    <xf numFmtId="0" fontId="126" fillId="0" borderId="100" applyNumberFormat="0" applyFill="0" applyAlignment="0" applyProtection="0"/>
    <xf numFmtId="0" fontId="126" fillId="0" borderId="100" applyNumberFormat="0" applyFill="0" applyAlignment="0" applyProtection="0"/>
    <xf numFmtId="0" fontId="41" fillId="0" borderId="100" applyNumberFormat="0" applyFill="0" applyAlignment="0" applyProtection="0"/>
    <xf numFmtId="0" fontId="126" fillId="0" borderId="100" applyNumberFormat="0" applyFill="0" applyAlignment="0" applyProtection="0"/>
    <xf numFmtId="41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1" fontId="127" fillId="0" borderId="18" applyFont="0" applyFill="0" applyBorder="0" applyAlignment="0" applyProtection="0"/>
    <xf numFmtId="43" fontId="127" fillId="0" borderId="18" applyFont="0" applyFill="0" applyBorder="0" applyAlignment="0" applyProtection="0"/>
    <xf numFmtId="0" fontId="93" fillId="0" borderId="18" applyNumberFormat="0"/>
    <xf numFmtId="213" fontId="127" fillId="0" borderId="18" applyFont="0" applyFill="0" applyBorder="0" applyAlignment="0" applyProtection="0"/>
    <xf numFmtId="214" fontId="40" fillId="0" borderId="18" applyFont="0" applyFill="0" applyBorder="0" applyAlignment="0" applyProtection="0"/>
    <xf numFmtId="215" fontId="127" fillId="0" borderId="18" applyFont="0" applyFill="0" applyBorder="0" applyAlignment="0" applyProtection="0"/>
    <xf numFmtId="216" fontId="40" fillId="0" borderId="18" applyFont="0" applyFill="0" applyBorder="0" applyAlignment="0" applyProtection="0"/>
    <xf numFmtId="217" fontId="40" fillId="0" borderId="18" applyFont="0" applyFill="0" applyBorder="0" applyAlignment="0" applyProtection="0"/>
    <xf numFmtId="0" fontId="128" fillId="81" borderId="111">
      <alignment horizontal="center"/>
    </xf>
    <xf numFmtId="193" fontId="40" fillId="0" borderId="18" applyFont="0" applyFill="0" applyBorder="0" applyAlignment="0" applyProtection="0"/>
    <xf numFmtId="41" fontId="129" fillId="0" borderId="18" applyFont="0" applyFill="0" applyBorder="0" applyAlignment="0" applyProtection="0"/>
    <xf numFmtId="43" fontId="129" fillId="0" borderId="18" applyFont="0" applyFill="0" applyBorder="0" applyAlignment="0" applyProtection="0"/>
    <xf numFmtId="198" fontId="129" fillId="0" borderId="18" applyFont="0" applyFill="0" applyBorder="0" applyAlignment="0" applyProtection="0"/>
    <xf numFmtId="199" fontId="129" fillId="0" borderId="18" applyFont="0" applyFill="0" applyBorder="0" applyAlignment="0" applyProtection="0"/>
    <xf numFmtId="0" fontId="130" fillId="0" borderId="18">
      <alignment vertical="center"/>
    </xf>
    <xf numFmtId="0" fontId="131" fillId="0" borderId="18"/>
    <xf numFmtId="0" fontId="10" fillId="28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0" fontId="40" fillId="0" borderId="18"/>
    <xf numFmtId="0" fontId="10" fillId="26" borderId="18" applyNumberFormat="0" applyBorder="0" applyAlignment="0" applyProtection="0"/>
    <xf numFmtId="0" fontId="10" fillId="0" borderId="18"/>
    <xf numFmtId="0" fontId="10" fillId="24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182" fontId="10" fillId="0" borderId="18" applyFont="0" applyFill="0" applyBorder="0" applyAlignment="0" applyProtection="0"/>
    <xf numFmtId="0" fontId="137" fillId="0" borderId="18">
      <alignment vertical="center"/>
    </xf>
    <xf numFmtId="0" fontId="135" fillId="0" borderId="18"/>
    <xf numFmtId="0" fontId="40" fillId="0" borderId="18"/>
    <xf numFmtId="43" fontId="40" fillId="0" borderId="18" applyFont="0" applyFill="0" applyBorder="0" applyAlignment="0" applyProtection="0"/>
    <xf numFmtId="0" fontId="40" fillId="0" borderId="18"/>
    <xf numFmtId="0" fontId="134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10" fillId="0" borderId="18"/>
    <xf numFmtId="0" fontId="10" fillId="0" borderId="18"/>
    <xf numFmtId="9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0" fontId="10" fillId="0" borderId="18"/>
    <xf numFmtId="0" fontId="39" fillId="0" borderId="18"/>
    <xf numFmtId="0" fontId="38" fillId="0" borderId="18"/>
    <xf numFmtId="9" fontId="38" fillId="0" borderId="18" applyFont="0" applyFill="0" applyBorder="0" applyAlignment="0" applyProtection="0"/>
    <xf numFmtId="166" fontId="1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9" fontId="143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10" fillId="0" borderId="18" applyFont="0" applyFill="0" applyBorder="0" applyAlignment="0" applyProtection="0"/>
    <xf numFmtId="182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87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182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43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182" fontId="10" fillId="0" borderId="18" applyFont="0" applyFill="0" applyBorder="0" applyAlignment="0" applyProtection="0"/>
  </cellStyleXfs>
  <cellXfs count="888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 wrapText="1"/>
    </xf>
    <xf numFmtId="167" fontId="11" fillId="0" borderId="4" xfId="0" applyNumberFormat="1" applyFont="1" applyBorder="1" applyAlignment="1">
      <alignment horizontal="left" vertical="center" wrapText="1"/>
    </xf>
    <xf numFmtId="168" fontId="11" fillId="0" borderId="4" xfId="0" applyNumberFormat="1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167" fontId="14" fillId="5" borderId="4" xfId="0" applyNumberFormat="1" applyFont="1" applyFill="1" applyBorder="1" applyAlignment="1">
      <alignment horizontal="center" vertical="center" wrapText="1"/>
    </xf>
    <xf numFmtId="170" fontId="15" fillId="5" borderId="4" xfId="0" applyNumberFormat="1" applyFont="1" applyFill="1" applyBorder="1" applyAlignment="1">
      <alignment horizontal="center" vertical="center" wrapText="1"/>
    </xf>
    <xf numFmtId="170" fontId="15" fillId="0" borderId="4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6" borderId="4" xfId="0" applyFont="1" applyFill="1" applyBorder="1"/>
    <xf numFmtId="0" fontId="13" fillId="7" borderId="4" xfId="0" applyFont="1" applyFill="1" applyBorder="1" applyAlignment="1">
      <alignment horizontal="center" vertical="center"/>
    </xf>
    <xf numFmtId="2" fontId="13" fillId="7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71" fontId="13" fillId="0" borderId="4" xfId="0" applyNumberFormat="1" applyFont="1" applyBorder="1" applyAlignment="1">
      <alignment horizontal="center" vertical="center"/>
    </xf>
    <xf numFmtId="171" fontId="13" fillId="0" borderId="4" xfId="0" applyNumberFormat="1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169" fontId="13" fillId="0" borderId="4" xfId="0" applyNumberFormat="1" applyFont="1" applyBorder="1" applyAlignment="1">
      <alignment horizontal="center" vertical="center" wrapText="1"/>
    </xf>
    <xf numFmtId="171" fontId="13" fillId="0" borderId="0" xfId="0" applyNumberFormat="1" applyFont="1" applyAlignment="1">
      <alignment vertical="center"/>
    </xf>
    <xf numFmtId="169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/>
    </xf>
    <xf numFmtId="2" fontId="13" fillId="5" borderId="4" xfId="0" applyNumberFormat="1" applyFont="1" applyFill="1" applyBorder="1" applyAlignment="1">
      <alignment horizontal="center" vertical="center"/>
    </xf>
    <xf numFmtId="169" fontId="13" fillId="0" borderId="3" xfId="0" applyNumberFormat="1" applyFont="1" applyBorder="1" applyAlignment="1">
      <alignment horizontal="center" vertical="center"/>
    </xf>
    <xf numFmtId="2" fontId="13" fillId="5" borderId="9" xfId="0" applyNumberFormat="1" applyFont="1" applyFill="1" applyBorder="1" applyAlignment="1">
      <alignment horizontal="center" vertical="center"/>
    </xf>
    <xf numFmtId="169" fontId="13" fillId="0" borderId="8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171" fontId="11" fillId="0" borderId="4" xfId="0" applyNumberFormat="1" applyFont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2" fontId="13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/>
    </xf>
    <xf numFmtId="167" fontId="11" fillId="10" borderId="4" xfId="0" applyNumberFormat="1" applyFont="1" applyFill="1" applyBorder="1" applyAlignment="1">
      <alignment horizontal="center" vertical="center" wrapText="1"/>
    </xf>
    <xf numFmtId="2" fontId="13" fillId="10" borderId="4" xfId="0" applyNumberFormat="1" applyFont="1" applyFill="1" applyBorder="1" applyAlignment="1">
      <alignment horizontal="center" vertical="center"/>
    </xf>
    <xf numFmtId="169" fontId="13" fillId="10" borderId="4" xfId="0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/>
    </xf>
    <xf numFmtId="2" fontId="13" fillId="9" borderId="4" xfId="0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 wrapText="1"/>
    </xf>
    <xf numFmtId="2" fontId="13" fillId="3" borderId="4" xfId="0" applyNumberFormat="1" applyFont="1" applyFill="1" applyBorder="1" applyAlignment="1">
      <alignment horizontal="center" vertical="center"/>
    </xf>
    <xf numFmtId="169" fontId="13" fillId="3" borderId="4" xfId="0" applyNumberFormat="1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169" fontId="21" fillId="5" borderId="19" xfId="0" applyNumberFormat="1" applyFont="1" applyFill="1" applyBorder="1" applyAlignment="1">
      <alignment horizontal="center" vertical="center"/>
    </xf>
    <xf numFmtId="169" fontId="20" fillId="0" borderId="24" xfId="0" applyNumberFormat="1" applyFont="1" applyBorder="1" applyAlignment="1">
      <alignment horizontal="center" vertical="center"/>
    </xf>
    <xf numFmtId="1" fontId="18" fillId="5" borderId="15" xfId="0" applyNumberFormat="1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/>
    </xf>
    <xf numFmtId="172" fontId="23" fillId="3" borderId="29" xfId="0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5" borderId="38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1" fontId="18" fillId="5" borderId="4" xfId="0" applyNumberFormat="1" applyFont="1" applyFill="1" applyBorder="1" applyAlignment="1">
      <alignment horizontal="center" vertical="center" wrapText="1"/>
    </xf>
    <xf numFmtId="15" fontId="15" fillId="5" borderId="4" xfId="0" applyNumberFormat="1" applyFont="1" applyFill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 wrapText="1"/>
    </xf>
    <xf numFmtId="1" fontId="24" fillId="5" borderId="4" xfId="0" applyNumberFormat="1" applyFont="1" applyFill="1" applyBorder="1" applyAlignment="1">
      <alignment horizontal="center" vertical="center" wrapText="1"/>
    </xf>
    <xf numFmtId="2" fontId="19" fillId="5" borderId="15" xfId="0" applyNumberFormat="1" applyFont="1" applyFill="1" applyBorder="1" applyAlignment="1">
      <alignment horizontal="center" vertical="center" wrapText="1"/>
    </xf>
    <xf numFmtId="171" fontId="18" fillId="5" borderId="15" xfId="0" applyNumberFormat="1" applyFont="1" applyFill="1" applyBorder="1" applyAlignment="1">
      <alignment horizontal="center" vertical="center" wrapText="1"/>
    </xf>
    <xf numFmtId="2" fontId="18" fillId="5" borderId="15" xfId="0" applyNumberFormat="1" applyFont="1" applyFill="1" applyBorder="1" applyAlignment="1">
      <alignment horizontal="center" vertical="center" wrapText="1"/>
    </xf>
    <xf numFmtId="1" fontId="19" fillId="5" borderId="15" xfId="0" applyNumberFormat="1" applyFont="1" applyFill="1" applyBorder="1" applyAlignment="1">
      <alignment horizontal="center" vertical="center" wrapText="1"/>
    </xf>
    <xf numFmtId="2" fontId="24" fillId="0" borderId="4" xfId="0" applyNumberFormat="1" applyFont="1" applyBorder="1" applyAlignment="1">
      <alignment horizontal="center" vertical="center" wrapText="1"/>
    </xf>
    <xf numFmtId="173" fontId="18" fillId="0" borderId="4" xfId="0" applyNumberFormat="1" applyFont="1" applyBorder="1" applyAlignment="1">
      <alignment horizontal="center" vertical="center" wrapText="1"/>
    </xf>
    <xf numFmtId="171" fontId="18" fillId="0" borderId="4" xfId="0" applyNumberFormat="1" applyFont="1" applyBorder="1" applyAlignment="1">
      <alignment horizontal="center" vertical="center" wrapText="1"/>
    </xf>
    <xf numFmtId="0" fontId="21" fillId="5" borderId="41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1" fontId="18" fillId="5" borderId="42" xfId="0" applyNumberFormat="1" applyFont="1" applyFill="1" applyBorder="1" applyAlignment="1">
      <alignment horizontal="center" vertical="center" wrapText="1"/>
    </xf>
    <xf numFmtId="15" fontId="15" fillId="5" borderId="42" xfId="0" applyNumberFormat="1" applyFont="1" applyFill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wrapText="1"/>
    </xf>
    <xf numFmtId="0" fontId="13" fillId="0" borderId="0" xfId="0" applyFont="1" applyAlignment="1">
      <alignment horizontal="left" vertical="center" wrapText="1"/>
    </xf>
    <xf numFmtId="1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46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 wrapText="1"/>
    </xf>
    <xf numFmtId="167" fontId="11" fillId="0" borderId="8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7" fontId="11" fillId="0" borderId="1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169" fontId="13" fillId="0" borderId="4" xfId="0" applyNumberFormat="1" applyFont="1" applyBorder="1"/>
    <xf numFmtId="0" fontId="13" fillId="0" borderId="4" xfId="0" quotePrefix="1" applyFont="1" applyBorder="1" applyAlignment="1">
      <alignment horizontal="center" vertical="center"/>
    </xf>
    <xf numFmtId="169" fontId="30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/>
    </xf>
    <xf numFmtId="173" fontId="13" fillId="0" borderId="4" xfId="0" applyNumberFormat="1" applyFont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1" fillId="0" borderId="0" xfId="0" applyFont="1"/>
    <xf numFmtId="0" fontId="13" fillId="0" borderId="54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14" borderId="15" xfId="0" applyFont="1" applyFill="1" applyBorder="1" applyAlignment="1">
      <alignment horizontal="center" vertical="center"/>
    </xf>
    <xf numFmtId="0" fontId="13" fillId="14" borderId="15" xfId="0" applyFont="1" applyFill="1" applyBorder="1"/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1" fillId="0" borderId="56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 wrapText="1"/>
    </xf>
    <xf numFmtId="0" fontId="11" fillId="0" borderId="57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11" fillId="0" borderId="5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14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14" borderId="60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67" fontId="11" fillId="0" borderId="62" xfId="0" applyNumberFormat="1" applyFont="1" applyBorder="1" applyAlignment="1">
      <alignment horizontal="center" vertical="center" wrapText="1"/>
    </xf>
    <xf numFmtId="0" fontId="11" fillId="14" borderId="63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3" fillId="14" borderId="4" xfId="0" applyFont="1" applyFill="1" applyBorder="1"/>
    <xf numFmtId="0" fontId="13" fillId="0" borderId="1" xfId="0" applyFont="1" applyBorder="1" applyAlignment="1">
      <alignment horizontal="left" vertical="center"/>
    </xf>
    <xf numFmtId="0" fontId="13" fillId="0" borderId="52" xfId="0" applyFont="1" applyBorder="1" applyAlignment="1">
      <alignment horizontal="left" vertical="center"/>
    </xf>
    <xf numFmtId="0" fontId="13" fillId="0" borderId="61" xfId="0" applyFont="1" applyBorder="1" applyAlignment="1">
      <alignment horizontal="left" vertical="center"/>
    </xf>
    <xf numFmtId="0" fontId="13" fillId="0" borderId="4" xfId="0" applyFont="1" applyBorder="1" applyAlignment="1">
      <alignment horizontal="left"/>
    </xf>
    <xf numFmtId="0" fontId="13" fillId="14" borderId="4" xfId="0" applyFont="1" applyFill="1" applyBorder="1" applyAlignment="1">
      <alignment horizontal="left"/>
    </xf>
    <xf numFmtId="175" fontId="13" fillId="0" borderId="53" xfId="0" applyNumberFormat="1" applyFont="1" applyBorder="1" applyAlignment="1">
      <alignment horizontal="center" vertical="center"/>
    </xf>
    <xf numFmtId="0" fontId="13" fillId="15" borderId="4" xfId="0" applyFont="1" applyFill="1" applyBorder="1"/>
    <xf numFmtId="0" fontId="32" fillId="0" borderId="4" xfId="0" applyFont="1" applyBorder="1" applyAlignment="1">
      <alignment horizontal="center" vertical="center"/>
    </xf>
    <xf numFmtId="169" fontId="13" fillId="14" borderId="4" xfId="0" applyNumberFormat="1" applyFont="1" applyFill="1" applyBorder="1"/>
    <xf numFmtId="169" fontId="13" fillId="14" borderId="4" xfId="0" applyNumberFormat="1" applyFont="1" applyFill="1" applyBorder="1" applyAlignment="1">
      <alignment horizontal="center" vertical="center"/>
    </xf>
    <xf numFmtId="169" fontId="13" fillId="14" borderId="4" xfId="0" applyNumberFormat="1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/>
    </xf>
    <xf numFmtId="0" fontId="33" fillId="3" borderId="4" xfId="0" applyFont="1" applyFill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center" vertical="center"/>
    </xf>
    <xf numFmtId="168" fontId="13" fillId="0" borderId="4" xfId="0" applyNumberFormat="1" applyFont="1" applyBorder="1" applyAlignment="1">
      <alignment horizontal="center" vertical="center"/>
    </xf>
    <xf numFmtId="3" fontId="13" fillId="0" borderId="62" xfId="0" applyNumberFormat="1" applyFont="1" applyBorder="1" applyAlignment="1">
      <alignment horizontal="center" vertical="center"/>
    </xf>
    <xf numFmtId="0" fontId="13" fillId="12" borderId="64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 wrapText="1"/>
    </xf>
    <xf numFmtId="0" fontId="13" fillId="0" borderId="62" xfId="0" applyFont="1" applyBorder="1" applyAlignment="1">
      <alignment horizontal="center" vertical="center" wrapText="1"/>
    </xf>
    <xf numFmtId="0" fontId="13" fillId="0" borderId="62" xfId="0" applyFont="1" applyBorder="1"/>
    <xf numFmtId="0" fontId="13" fillId="0" borderId="65" xfId="0" applyFont="1" applyBorder="1" applyAlignment="1">
      <alignment horizontal="center" vertical="center"/>
    </xf>
    <xf numFmtId="0" fontId="11" fillId="18" borderId="66" xfId="0" applyFont="1" applyFill="1" applyBorder="1" applyAlignment="1">
      <alignment horizontal="center"/>
    </xf>
    <xf numFmtId="169" fontId="11" fillId="3" borderId="4" xfId="0" applyNumberFormat="1" applyFont="1" applyFill="1" applyBorder="1"/>
    <xf numFmtId="2" fontId="11" fillId="6" borderId="4" xfId="0" applyNumberFormat="1" applyFont="1" applyFill="1" applyBorder="1" applyAlignment="1">
      <alignment horizontal="center" vertical="center"/>
    </xf>
    <xf numFmtId="0" fontId="11" fillId="0" borderId="4" xfId="0" applyFont="1" applyBorder="1"/>
    <xf numFmtId="2" fontId="11" fillId="0" borderId="4" xfId="0" applyNumberFormat="1" applyFont="1" applyBorder="1" applyAlignment="1">
      <alignment horizontal="center" vertical="center"/>
    </xf>
    <xf numFmtId="0" fontId="11" fillId="18" borderId="4" xfId="0" applyFont="1" applyFill="1" applyBorder="1"/>
    <xf numFmtId="0" fontId="11" fillId="19" borderId="4" xfId="0" applyFont="1" applyFill="1" applyBorder="1" applyAlignment="1">
      <alignment horizontal="center" vertical="center" wrapText="1"/>
    </xf>
    <xf numFmtId="0" fontId="11" fillId="19" borderId="9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 wrapText="1"/>
    </xf>
    <xf numFmtId="0" fontId="11" fillId="18" borderId="67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/>
    </xf>
    <xf numFmtId="0" fontId="11" fillId="19" borderId="63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18" borderId="63" xfId="0" applyFont="1" applyFill="1" applyBorder="1" applyAlignment="1">
      <alignment horizontal="center" vertical="center" wrapText="1"/>
    </xf>
    <xf numFmtId="0" fontId="13" fillId="18" borderId="4" xfId="0" applyFont="1" applyFill="1" applyBorder="1"/>
    <xf numFmtId="0" fontId="13" fillId="18" borderId="4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/>
    </xf>
    <xf numFmtId="2" fontId="34" fillId="20" borderId="4" xfId="0" applyNumberFormat="1" applyFont="1" applyFill="1" applyBorder="1" applyAlignment="1">
      <alignment horizontal="center"/>
    </xf>
    <xf numFmtId="0" fontId="13" fillId="18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wrapText="1"/>
    </xf>
    <xf numFmtId="0" fontId="13" fillId="0" borderId="4" xfId="0" applyFont="1" applyBorder="1" applyAlignment="1">
      <alignment horizontal="center" wrapText="1"/>
    </xf>
    <xf numFmtId="0" fontId="13" fillId="18" borderId="4" xfId="0" applyFont="1" applyFill="1" applyBorder="1" applyAlignment="1">
      <alignment horizontal="center" wrapText="1"/>
    </xf>
    <xf numFmtId="2" fontId="27" fillId="0" borderId="4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/>
    </xf>
    <xf numFmtId="171" fontId="11" fillId="0" borderId="4" xfId="0" applyNumberFormat="1" applyFont="1" applyBorder="1" applyAlignment="1">
      <alignment horizontal="center"/>
    </xf>
    <xf numFmtId="0" fontId="13" fillId="18" borderId="15" xfId="0" applyFont="1" applyFill="1" applyBorder="1"/>
    <xf numFmtId="2" fontId="13" fillId="0" borderId="0" xfId="0" applyNumberFormat="1" applyFont="1"/>
    <xf numFmtId="169" fontId="11" fillId="2" borderId="29" xfId="0" applyNumberFormat="1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8" xfId="0" applyFont="1" applyBorder="1"/>
    <xf numFmtId="0" fontId="13" fillId="0" borderId="37" xfId="0" applyFont="1" applyBorder="1" applyAlignment="1">
      <alignment horizontal="center" vertical="center" wrapText="1"/>
    </xf>
    <xf numFmtId="9" fontId="11" fillId="0" borderId="4" xfId="0" applyNumberFormat="1" applyFont="1" applyBorder="1" applyAlignment="1">
      <alignment horizontal="center" vertical="center"/>
    </xf>
    <xf numFmtId="0" fontId="13" fillId="0" borderId="39" xfId="0" applyFont="1" applyBorder="1"/>
    <xf numFmtId="0" fontId="11" fillId="0" borderId="38" xfId="0" applyFont="1" applyBorder="1" applyAlignment="1">
      <alignment horizont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center" vertical="center"/>
    </xf>
    <xf numFmtId="9" fontId="11" fillId="0" borderId="42" xfId="0" applyNumberFormat="1" applyFont="1" applyBorder="1" applyAlignment="1">
      <alignment horizontal="center" vertical="center"/>
    </xf>
    <xf numFmtId="0" fontId="13" fillId="0" borderId="43" xfId="0" applyFont="1" applyBorder="1"/>
    <xf numFmtId="0" fontId="13" fillId="0" borderId="40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1" fillId="21" borderId="73" xfId="0" applyFont="1" applyFill="1" applyBorder="1" applyAlignment="1">
      <alignment horizontal="center" vertical="center"/>
    </xf>
    <xf numFmtId="177" fontId="11" fillId="21" borderId="45" xfId="0" applyNumberFormat="1" applyFont="1" applyFill="1" applyBorder="1" applyAlignment="1">
      <alignment horizontal="center" vertical="center"/>
    </xf>
    <xf numFmtId="0" fontId="17" fillId="0" borderId="0" xfId="0" applyFont="1"/>
    <xf numFmtId="0" fontId="26" fillId="22" borderId="4" xfId="0" applyFont="1" applyFill="1" applyBorder="1" applyAlignment="1">
      <alignment horizontal="center" vertical="center" wrapText="1"/>
    </xf>
    <xf numFmtId="0" fontId="26" fillId="22" borderId="63" xfId="0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center" vertical="center" wrapText="1"/>
    </xf>
    <xf numFmtId="1" fontId="26" fillId="0" borderId="4" xfId="0" applyNumberFormat="1" applyFont="1" applyBorder="1" applyAlignment="1">
      <alignment horizontal="center" vertical="center"/>
    </xf>
    <xf numFmtId="178" fontId="26" fillId="0" borderId="4" xfId="0" applyNumberFormat="1" applyFont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1" fontId="17" fillId="0" borderId="0" xfId="0" applyNumberFormat="1" applyFont="1"/>
    <xf numFmtId="178" fontId="26" fillId="0" borderId="72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35" fillId="0" borderId="41" xfId="0" applyFont="1" applyBorder="1" applyAlignment="1">
      <alignment horizontal="center" vertical="center"/>
    </xf>
    <xf numFmtId="0" fontId="26" fillId="0" borderId="42" xfId="0" applyFont="1" applyBorder="1" applyAlignment="1">
      <alignment horizontal="left" vertical="center"/>
    </xf>
    <xf numFmtId="0" fontId="26" fillId="0" borderId="42" xfId="0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 wrapText="1"/>
    </xf>
    <xf numFmtId="178" fontId="26" fillId="0" borderId="4" xfId="0" applyNumberFormat="1" applyFont="1" applyBorder="1" applyAlignment="1">
      <alignment vertical="center" wrapText="1"/>
    </xf>
    <xf numFmtId="1" fontId="26" fillId="0" borderId="72" xfId="0" applyNumberFormat="1" applyFont="1" applyBorder="1" applyAlignment="1">
      <alignment horizontal="center" vertical="center" wrapText="1"/>
    </xf>
    <xf numFmtId="174" fontId="26" fillId="0" borderId="4" xfId="0" applyNumberFormat="1" applyFont="1" applyBorder="1" applyAlignment="1">
      <alignment vertical="center" wrapText="1"/>
    </xf>
    <xf numFmtId="178" fontId="26" fillId="0" borderId="4" xfId="0" applyNumberFormat="1" applyFont="1" applyBorder="1" applyAlignment="1">
      <alignment horizontal="center" vertical="center" wrapText="1"/>
    </xf>
    <xf numFmtId="178" fontId="26" fillId="0" borderId="42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 wrapText="1"/>
    </xf>
    <xf numFmtId="179" fontId="13" fillId="0" borderId="4" xfId="0" applyNumberFormat="1" applyFont="1" applyBorder="1"/>
    <xf numFmtId="179" fontId="13" fillId="0" borderId="4" xfId="0" applyNumberFormat="1" applyFont="1" applyBorder="1" applyAlignment="1">
      <alignment horizontal="center" vertical="center"/>
    </xf>
    <xf numFmtId="179" fontId="13" fillId="0" borderId="4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31" fillId="0" borderId="0" xfId="0" applyNumberFormat="1" applyFont="1"/>
    <xf numFmtId="0" fontId="37" fillId="0" borderId="4" xfId="0" applyFont="1" applyBorder="1" applyAlignment="1">
      <alignment horizontal="center" vertical="center"/>
    </xf>
    <xf numFmtId="0" fontId="10" fillId="0" borderId="18" xfId="335"/>
    <xf numFmtId="0" fontId="10" fillId="0" borderId="18" xfId="335" applyAlignment="1">
      <alignment horizontal="center" vertical="center"/>
    </xf>
    <xf numFmtId="0" fontId="10" fillId="0" borderId="125" xfId="335" applyBorder="1"/>
    <xf numFmtId="0" fontId="10" fillId="0" borderId="102" xfId="335" applyBorder="1" applyAlignment="1">
      <alignment horizontal="center" vertical="center"/>
    </xf>
    <xf numFmtId="0" fontId="10" fillId="0" borderId="102" xfId="335" applyBorder="1"/>
    <xf numFmtId="0" fontId="10" fillId="0" borderId="124" xfId="335" applyBorder="1"/>
    <xf numFmtId="0" fontId="10" fillId="0" borderId="90" xfId="335" applyBorder="1"/>
    <xf numFmtId="0" fontId="10" fillId="0" borderId="80" xfId="335" applyBorder="1" applyAlignment="1">
      <alignment horizontal="center" vertical="center"/>
    </xf>
    <xf numFmtId="173" fontId="10" fillId="0" borderId="18" xfId="335" applyNumberFormat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0" fillId="0" borderId="18" xfId="335" applyAlignment="1">
      <alignment horizontal="center"/>
    </xf>
    <xf numFmtId="0" fontId="138" fillId="0" borderId="18" xfId="335" applyFont="1"/>
    <xf numFmtId="0" fontId="138" fillId="0" borderId="89" xfId="335" applyFont="1" applyBorder="1"/>
    <xf numFmtId="0" fontId="10" fillId="0" borderId="89" xfId="335" applyBorder="1"/>
    <xf numFmtId="1" fontId="10" fillId="0" borderId="18" xfId="335" applyNumberFormat="1" applyAlignment="1">
      <alignment horizontal="right" vertical="center"/>
    </xf>
    <xf numFmtId="0" fontId="10" fillId="0" borderId="80" xfId="335" applyBorder="1"/>
    <xf numFmtId="0" fontId="136" fillId="0" borderId="80" xfId="335" applyFont="1" applyBorder="1" applyAlignment="1">
      <alignment horizontal="center"/>
    </xf>
    <xf numFmtId="0" fontId="136" fillId="87" borderId="80" xfId="335" applyFont="1" applyFill="1" applyBorder="1" applyAlignment="1">
      <alignment horizontal="center"/>
    </xf>
    <xf numFmtId="173" fontId="10" fillId="0" borderId="18" xfId="335" applyNumberFormat="1" applyAlignment="1">
      <alignment horizontal="left" vertical="center"/>
    </xf>
    <xf numFmtId="0" fontId="139" fillId="87" borderId="80" xfId="335" applyFont="1" applyFill="1" applyBorder="1" applyAlignment="1">
      <alignment horizontal="center" vertical="center"/>
    </xf>
    <xf numFmtId="0" fontId="138" fillId="0" borderId="85" xfId="335" applyFont="1" applyBorder="1"/>
    <xf numFmtId="0" fontId="10" fillId="0" borderId="18" xfId="335" applyAlignment="1">
      <alignment horizontal="left" vertical="center"/>
    </xf>
    <xf numFmtId="0" fontId="136" fillId="0" borderId="18" xfId="335" applyFont="1" applyAlignment="1">
      <alignment horizontal="center"/>
    </xf>
    <xf numFmtId="0" fontId="10" fillId="0" borderId="118" xfId="335" applyBorder="1" applyAlignment="1">
      <alignment horizontal="center" vertic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1" fontId="36" fillId="0" borderId="18" xfId="335" applyNumberFormat="1" applyFont="1" applyAlignment="1">
      <alignment horizontal="center" vertical="center"/>
    </xf>
    <xf numFmtId="0" fontId="36" fillId="0" borderId="18" xfId="335" applyFont="1"/>
    <xf numFmtId="0" fontId="141" fillId="0" borderId="18" xfId="335" applyFont="1" applyAlignment="1">
      <alignment horizontal="center"/>
    </xf>
    <xf numFmtId="0" fontId="36" fillId="87" borderId="80" xfId="335" applyFont="1" applyFill="1" applyBorder="1"/>
    <xf numFmtId="1" fontId="36" fillId="0" borderId="18" xfId="335" applyNumberFormat="1" applyFont="1" applyAlignment="1">
      <alignment horizontal="right" vertical="center"/>
    </xf>
    <xf numFmtId="0" fontId="139" fillId="82" borderId="80" xfId="335" applyFont="1" applyFill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0" fontId="36" fillId="0" borderId="102" xfId="335" applyFont="1" applyBorder="1" applyAlignment="1">
      <alignment horizontal="center"/>
    </xf>
    <xf numFmtId="2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36" fillId="0" borderId="102" xfId="335" applyFont="1" applyBorder="1" applyAlignment="1">
      <alignment horizontal="center" vertical="center"/>
    </xf>
    <xf numFmtId="1" fontId="36" fillId="0" borderId="18" xfId="335" applyNumberFormat="1" applyFont="1"/>
    <xf numFmtId="1" fontId="141" fillId="0" borderId="18" xfId="335" applyNumberFormat="1" applyFont="1" applyAlignment="1">
      <alignment horizontal="center"/>
    </xf>
    <xf numFmtId="0" fontId="36" fillId="89" borderId="18" xfId="335" applyFont="1" applyFill="1" applyAlignment="1">
      <alignment horizontal="center"/>
    </xf>
    <xf numFmtId="0" fontId="10" fillId="89" borderId="18" xfId="335" applyFill="1" applyAlignment="1">
      <alignment horizontal="center" vertical="center"/>
    </xf>
    <xf numFmtId="0" fontId="36" fillId="89" borderId="18" xfId="335" applyFont="1" applyFill="1" applyAlignment="1">
      <alignment horizontal="center" vertical="center"/>
    </xf>
    <xf numFmtId="1" fontId="36" fillId="0" borderId="18" xfId="335" applyNumberFormat="1" applyFont="1" applyAlignment="1">
      <alignment horizontal="center"/>
    </xf>
    <xf numFmtId="0" fontId="141" fillId="87" borderId="80" xfId="335" applyFont="1" applyFill="1" applyBorder="1" applyAlignment="1">
      <alignment horizontal="center"/>
    </xf>
    <xf numFmtId="2" fontId="36" fillId="89" borderId="18" xfId="335" applyNumberFormat="1" applyFont="1" applyFill="1" applyAlignment="1">
      <alignment horizontal="center"/>
    </xf>
    <xf numFmtId="0" fontId="36" fillId="88" borderId="18" xfId="335" applyFont="1" applyFill="1" applyAlignment="1">
      <alignment horizontal="center" vertical="center"/>
    </xf>
    <xf numFmtId="0" fontId="36" fillId="88" borderId="18" xfId="335" applyFont="1" applyFill="1" applyAlignment="1">
      <alignment horizontal="center"/>
    </xf>
    <xf numFmtId="0" fontId="142" fillId="87" borderId="80" xfId="335" applyFont="1" applyFill="1" applyBorder="1" applyAlignment="1">
      <alignment horizontal="center" vertical="center"/>
    </xf>
    <xf numFmtId="2" fontId="36" fillId="88" borderId="18" xfId="335" applyNumberFormat="1" applyFont="1" applyFill="1" applyAlignment="1">
      <alignment horizontal="center"/>
    </xf>
    <xf numFmtId="0" fontId="10" fillId="87" borderId="80" xfId="335" applyFill="1" applyBorder="1"/>
    <xf numFmtId="0" fontId="36" fillId="0" borderId="18" xfId="335" applyFont="1" applyAlignment="1">
      <alignment horizontal="right" vertical="center"/>
    </xf>
    <xf numFmtId="0" fontId="36" fillId="0" borderId="18" xfId="335" quotePrefix="1" applyFont="1" applyAlignment="1">
      <alignment horizontal="center" vertical="center"/>
    </xf>
    <xf numFmtId="0" fontId="36" fillId="0" borderId="18" xfId="335" applyFont="1" applyAlignment="1">
      <alignment vertical="center"/>
    </xf>
    <xf numFmtId="1" fontId="36" fillId="0" borderId="18" xfId="335" applyNumberFormat="1" applyFont="1" applyAlignment="1">
      <alignment horizontal="left" vertical="center"/>
    </xf>
    <xf numFmtId="0" fontId="10" fillId="88" borderId="18" xfId="335" applyFill="1" applyAlignment="1">
      <alignment horizontal="center" vertical="center"/>
    </xf>
    <xf numFmtId="1" fontId="36" fillId="88" borderId="18" xfId="335" applyNumberFormat="1" applyFont="1" applyFill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0" fontId="11" fillId="90" borderId="18" xfId="0" applyFont="1" applyFill="1" applyBorder="1" applyAlignment="1">
      <alignment horizontal="center" wrapText="1"/>
    </xf>
    <xf numFmtId="0" fontId="143" fillId="90" borderId="18" xfId="0" applyFont="1" applyFill="1" applyBorder="1" applyAlignment="1">
      <alignment wrapText="1"/>
    </xf>
    <xf numFmtId="0" fontId="9" fillId="0" borderId="18" xfId="335" applyFont="1"/>
    <xf numFmtId="0" fontId="143" fillId="0" borderId="18" xfId="0" applyFont="1" applyBorder="1" applyAlignment="1">
      <alignment wrapText="1"/>
    </xf>
    <xf numFmtId="0" fontId="13" fillId="0" borderId="80" xfId="0" applyFont="1" applyBorder="1" applyAlignment="1">
      <alignment horizontal="center" vertical="center" wrapText="1"/>
    </xf>
    <xf numFmtId="0" fontId="143" fillId="0" borderId="80" xfId="0" applyFont="1" applyBorder="1" applyAlignment="1">
      <alignment vertical="center" wrapText="1"/>
    </xf>
    <xf numFmtId="179" fontId="11" fillId="0" borderId="11" xfId="0" applyNumberFormat="1" applyFont="1" applyBorder="1" applyAlignment="1">
      <alignment horizontal="center" vertical="center" wrapText="1"/>
    </xf>
    <xf numFmtId="218" fontId="13" fillId="0" borderId="4" xfId="0" applyNumberFormat="1" applyFont="1" applyBorder="1"/>
    <xf numFmtId="0" fontId="18" fillId="5" borderId="15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21" fillId="5" borderId="42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6" fillId="92" borderId="18" xfId="335" applyFont="1" applyFill="1" applyAlignment="1">
      <alignment horizontal="center" vertical="center"/>
    </xf>
    <xf numFmtId="0" fontId="36" fillId="92" borderId="18" xfId="335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0" fontId="10" fillId="92" borderId="18" xfId="335" applyFill="1" applyAlignment="1">
      <alignment horizontal="center" vertical="center"/>
    </xf>
    <xf numFmtId="0" fontId="10" fillId="92" borderId="18" xfId="335" applyFill="1" applyAlignment="1">
      <alignment horizontal="center"/>
    </xf>
    <xf numFmtId="0" fontId="141" fillId="92" borderId="18" xfId="335" applyFont="1" applyFill="1" applyAlignment="1">
      <alignment horizontal="center"/>
    </xf>
    <xf numFmtId="0" fontId="36" fillId="92" borderId="102" xfId="335" applyFont="1" applyFill="1" applyBorder="1" applyAlignment="1">
      <alignment horizontal="center" vertical="center"/>
    </xf>
    <xf numFmtId="0" fontId="141" fillId="0" borderId="18" xfId="335" applyFont="1"/>
    <xf numFmtId="0" fontId="10" fillId="92" borderId="18" xfId="335" applyFill="1"/>
    <xf numFmtId="2" fontId="8" fillId="0" borderId="18" xfId="0" applyNumberFormat="1" applyFont="1" applyBorder="1" applyAlignment="1">
      <alignment horizontal="center" vertical="center"/>
    </xf>
    <xf numFmtId="2" fontId="36" fillId="0" borderId="18" xfId="0" applyNumberFormat="1" applyFont="1" applyBorder="1" applyAlignment="1">
      <alignment horizontal="center" vertical="center"/>
    </xf>
    <xf numFmtId="0" fontId="10" fillId="0" borderId="126" xfId="335" applyBorder="1" applyAlignment="1">
      <alignment horizontal="center" vertical="center"/>
    </xf>
    <xf numFmtId="0" fontId="136" fillId="0" borderId="80" xfId="335" applyFont="1" applyBorder="1" applyAlignment="1">
      <alignment horizontal="center" vertical="center"/>
    </xf>
    <xf numFmtId="0" fontId="136" fillId="84" borderId="80" xfId="335" applyFont="1" applyFill="1" applyBorder="1" applyAlignment="1">
      <alignment horizontal="center" vertical="center"/>
    </xf>
    <xf numFmtId="0" fontId="10" fillId="0" borderId="89" xfId="335" applyBorder="1" applyAlignment="1">
      <alignment horizontal="center" vertical="center"/>
    </xf>
    <xf numFmtId="0" fontId="36" fillId="0" borderId="89" xfId="335" applyFont="1" applyBorder="1" applyAlignment="1">
      <alignment horizontal="center" vertical="center"/>
    </xf>
    <xf numFmtId="0" fontId="36" fillId="87" borderId="80" xfId="335" applyFont="1" applyFill="1" applyBorder="1" applyAlignment="1">
      <alignment horizontal="center" vertical="center"/>
    </xf>
    <xf numFmtId="0" fontId="36" fillId="91" borderId="80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8" fillId="0" borderId="89" xfId="335" applyFont="1" applyBorder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0" fontId="138" fillId="0" borderId="85" xfId="335" applyFont="1" applyBorder="1" applyAlignment="1">
      <alignment horizontal="center" vertical="center"/>
    </xf>
    <xf numFmtId="0" fontId="136" fillId="87" borderId="80" xfId="335" applyFont="1" applyFill="1" applyBorder="1" applyAlignment="1">
      <alignment horizontal="center" vertical="center"/>
    </xf>
    <xf numFmtId="0" fontId="10" fillId="0" borderId="124" xfId="335" applyBorder="1" applyAlignment="1">
      <alignment horizontal="center" vertical="center"/>
    </xf>
    <xf numFmtId="0" fontId="141" fillId="87" borderId="80" xfId="335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64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167" fontId="11" fillId="0" borderId="63" xfId="0" applyNumberFormat="1" applyFont="1" applyBorder="1" applyAlignment="1">
      <alignment horizontal="center" vertical="center" wrapText="1"/>
    </xf>
    <xf numFmtId="1" fontId="26" fillId="0" borderId="72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21" fillId="4" borderId="75" xfId="0" applyFont="1" applyFill="1" applyBorder="1" applyAlignment="1">
      <alignment horizontal="center" vertical="center"/>
    </xf>
    <xf numFmtId="172" fontId="23" fillId="3" borderId="76" xfId="0" applyNumberFormat="1" applyFont="1" applyFill="1" applyBorder="1" applyAlignment="1">
      <alignment horizontal="center" vertical="center"/>
    </xf>
    <xf numFmtId="0" fontId="21" fillId="5" borderId="146" xfId="0" applyFont="1" applyFill="1" applyBorder="1" applyAlignment="1">
      <alignment horizontal="center" vertical="center" wrapText="1"/>
    </xf>
    <xf numFmtId="0" fontId="18" fillId="0" borderId="147" xfId="0" applyFont="1" applyBorder="1" applyAlignment="1">
      <alignment horizontal="center" vertical="center" wrapText="1"/>
    </xf>
    <xf numFmtId="0" fontId="21" fillId="5" borderId="150" xfId="0" applyFont="1" applyFill="1" applyBorder="1" applyAlignment="1">
      <alignment horizontal="center" vertical="center" wrapText="1"/>
    </xf>
    <xf numFmtId="0" fontId="21" fillId="5" borderId="151" xfId="0" applyFont="1" applyFill="1" applyBorder="1" applyAlignment="1">
      <alignment horizontal="center" vertical="center" wrapText="1"/>
    </xf>
    <xf numFmtId="0" fontId="18" fillId="5" borderId="151" xfId="0" applyFont="1" applyFill="1" applyBorder="1" applyAlignment="1">
      <alignment horizontal="center" vertical="center" wrapText="1"/>
    </xf>
    <xf numFmtId="1" fontId="18" fillId="5" borderId="151" xfId="0" applyNumberFormat="1" applyFont="1" applyFill="1" applyBorder="1" applyAlignment="1">
      <alignment horizontal="center" vertical="center" wrapText="1"/>
    </xf>
    <xf numFmtId="15" fontId="15" fillId="5" borderId="151" xfId="0" applyNumberFormat="1" applyFont="1" applyFill="1" applyBorder="1" applyAlignment="1">
      <alignment horizontal="center" vertical="center"/>
    </xf>
    <xf numFmtId="1" fontId="18" fillId="0" borderId="151" xfId="0" applyNumberFormat="1" applyFont="1" applyBorder="1" applyAlignment="1">
      <alignment horizontal="center" vertical="center" wrapText="1"/>
    </xf>
    <xf numFmtId="2" fontId="24" fillId="0" borderId="151" xfId="0" applyNumberFormat="1" applyFont="1" applyBorder="1" applyAlignment="1">
      <alignment horizontal="center" vertical="center" wrapText="1"/>
    </xf>
    <xf numFmtId="173" fontId="24" fillId="5" borderId="151" xfId="0" applyNumberFormat="1" applyFont="1" applyFill="1" applyBorder="1" applyAlignment="1">
      <alignment horizontal="center" vertical="center" wrapText="1"/>
    </xf>
    <xf numFmtId="0" fontId="24" fillId="5" borderId="151" xfId="0" applyFont="1" applyFill="1" applyBorder="1" applyAlignment="1">
      <alignment horizontal="center" vertical="center" wrapText="1"/>
    </xf>
    <xf numFmtId="0" fontId="24" fillId="5" borderId="152" xfId="0" applyFont="1" applyFill="1" applyBorder="1" applyAlignment="1">
      <alignment horizontal="center" vertical="center" wrapText="1"/>
    </xf>
    <xf numFmtId="179" fontId="13" fillId="0" borderId="4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10" fillId="82" borderId="18" xfId="335" applyFill="1" applyAlignment="1">
      <alignment horizontal="center" vertical="center"/>
    </xf>
    <xf numFmtId="0" fontId="13" fillId="0" borderId="64" xfId="0" applyFont="1" applyBorder="1" applyAlignment="1">
      <alignment horizontal="left" vertical="center"/>
    </xf>
    <xf numFmtId="0" fontId="13" fillId="0" borderId="66" xfId="0" applyFont="1" applyBorder="1" applyAlignment="1">
      <alignment horizontal="left" vertical="center"/>
    </xf>
    <xf numFmtId="0" fontId="13" fillId="0" borderId="153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54" xfId="0" applyFont="1" applyBorder="1" applyAlignment="1">
      <alignment horizontal="left" vertical="center"/>
    </xf>
    <xf numFmtId="0" fontId="13" fillId="0" borderId="15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55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55" xfId="0" applyFont="1" applyBorder="1" applyAlignment="1">
      <alignment horizontal="left" vertical="center"/>
    </xf>
    <xf numFmtId="3" fontId="13" fillId="0" borderId="65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0" borderId="9" xfId="0" applyFont="1" applyBorder="1"/>
    <xf numFmtId="0" fontId="13" fillId="14" borderId="9" xfId="0" applyFont="1" applyFill="1" applyBorder="1"/>
    <xf numFmtId="179" fontId="13" fillId="0" borderId="9" xfId="0" applyNumberFormat="1" applyFont="1" applyBorder="1"/>
    <xf numFmtId="0" fontId="13" fillId="0" borderId="63" xfId="0" applyFont="1" applyBorder="1" applyAlignment="1">
      <alignment horizontal="center" vertical="center"/>
    </xf>
    <xf numFmtId="0" fontId="13" fillId="0" borderId="63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46" xfId="0" applyFont="1" applyBorder="1" applyAlignment="1">
      <alignment horizontal="left" vertical="center"/>
    </xf>
    <xf numFmtId="0" fontId="13" fillId="0" borderId="157" xfId="0" applyFont="1" applyBorder="1" applyAlignment="1">
      <alignment horizontal="left" vertical="center"/>
    </xf>
    <xf numFmtId="0" fontId="13" fillId="0" borderId="58" xfId="0" applyFont="1" applyBorder="1" applyAlignment="1">
      <alignment horizontal="left" vertical="center"/>
    </xf>
    <xf numFmtId="0" fontId="13" fillId="0" borderId="158" xfId="0" applyFont="1" applyBorder="1" applyAlignment="1">
      <alignment horizontal="center" vertical="center"/>
    </xf>
    <xf numFmtId="3" fontId="13" fillId="0" borderId="59" xfId="0" applyNumberFormat="1" applyFont="1" applyBorder="1" applyAlignment="1">
      <alignment horizontal="center" vertical="center"/>
    </xf>
    <xf numFmtId="2" fontId="13" fillId="0" borderId="63" xfId="0" applyNumberFormat="1" applyFont="1" applyBorder="1" applyAlignment="1">
      <alignment horizontal="center" vertical="center"/>
    </xf>
    <xf numFmtId="0" fontId="13" fillId="14" borderId="63" xfId="0" applyFont="1" applyFill="1" applyBorder="1" applyAlignment="1">
      <alignment horizontal="center" vertical="center"/>
    </xf>
    <xf numFmtId="0" fontId="13" fillId="0" borderId="80" xfId="0" applyFont="1" applyBorder="1" applyAlignment="1">
      <alignment horizontal="center" vertical="center"/>
    </xf>
    <xf numFmtId="2" fontId="13" fillId="0" borderId="80" xfId="0" applyNumberFormat="1" applyFont="1" applyBorder="1" applyAlignment="1">
      <alignment horizontal="center" vertical="center"/>
    </xf>
    <xf numFmtId="0" fontId="0" fillId="0" borderId="80" xfId="0" applyBorder="1"/>
    <xf numFmtId="16" fontId="13" fillId="0" borderId="4" xfId="0" quotePrefix="1" applyNumberFormat="1" applyFont="1" applyBorder="1" applyAlignment="1">
      <alignment horizontal="left" vertical="center"/>
    </xf>
    <xf numFmtId="2" fontId="11" fillId="6" borderId="80" xfId="0" applyNumberFormat="1" applyFont="1" applyFill="1" applyBorder="1" applyAlignment="1">
      <alignment horizontal="center" vertical="center"/>
    </xf>
    <xf numFmtId="2" fontId="11" fillId="0" borderId="80" xfId="0" applyNumberFormat="1" applyFont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 wrapText="1"/>
    </xf>
    <xf numFmtId="0" fontId="11" fillId="19" borderId="80" xfId="0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18" borderId="80" xfId="0" applyFont="1" applyFill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/>
    </xf>
    <xf numFmtId="0" fontId="13" fillId="0" borderId="80" xfId="0" quotePrefix="1" applyFont="1" applyBorder="1" applyAlignment="1">
      <alignment horizontal="center" vertical="center"/>
    </xf>
    <xf numFmtId="179" fontId="13" fillId="0" borderId="80" xfId="0" applyNumberFormat="1" applyFont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 wrapText="1"/>
    </xf>
    <xf numFmtId="169" fontId="13" fillId="0" borderId="80" xfId="0" applyNumberFormat="1" applyFont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9" fontId="11" fillId="3" borderId="80" xfId="0" applyNumberFormat="1" applyFont="1" applyFill="1" applyBorder="1" applyAlignment="1">
      <alignment horizontal="center" vertical="center"/>
    </xf>
    <xf numFmtId="0" fontId="11" fillId="18" borderId="80" xfId="0" applyFont="1" applyFill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13" fillId="18" borderId="18" xfId="0" applyFont="1" applyFill="1" applyBorder="1" applyAlignment="1">
      <alignment horizontal="center" vertical="center"/>
    </xf>
    <xf numFmtId="0" fontId="13" fillId="18" borderId="15" xfId="0" applyFont="1" applyFill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0" fontId="5" fillId="83" borderId="80" xfId="0" applyFont="1" applyFill="1" applyBorder="1" applyAlignment="1">
      <alignment horizontal="center" vertical="center"/>
    </xf>
    <xf numFmtId="0" fontId="10" fillId="93" borderId="18" xfId="335" applyFill="1" applyAlignment="1">
      <alignment horizontal="center"/>
    </xf>
    <xf numFmtId="0" fontId="10" fillId="93" borderId="18" xfId="335" applyFill="1" applyAlignment="1">
      <alignment horizontal="center" vertical="center"/>
    </xf>
    <xf numFmtId="0" fontId="10" fillId="93" borderId="18" xfId="335" applyFill="1"/>
    <xf numFmtId="0" fontId="145" fillId="0" borderId="18" xfId="335" applyFont="1" applyAlignment="1">
      <alignment horizontal="center" vertical="center"/>
    </xf>
    <xf numFmtId="0" fontId="138" fillId="0" borderId="118" xfId="335" applyFont="1" applyBorder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1" fontId="146" fillId="0" borderId="18" xfId="335" applyNumberFormat="1" applyFont="1" applyAlignment="1">
      <alignment horizontal="center" vertical="center"/>
    </xf>
    <xf numFmtId="2" fontId="146" fillId="0" borderId="18" xfId="0" applyNumberFormat="1" applyFont="1" applyBorder="1" applyAlignment="1">
      <alignment horizontal="center" vertical="center"/>
    </xf>
    <xf numFmtId="0" fontId="138" fillId="0" borderId="102" xfId="335" applyFont="1" applyBorder="1" applyAlignment="1">
      <alignment horizontal="center" vertical="center"/>
    </xf>
    <xf numFmtId="2" fontId="138" fillId="0" borderId="18" xfId="0" applyNumberFormat="1" applyFont="1" applyBorder="1" applyAlignment="1">
      <alignment horizontal="center" vertical="center"/>
    </xf>
    <xf numFmtId="0" fontId="146" fillId="0" borderId="18" xfId="0" applyFont="1" applyBorder="1" applyAlignment="1">
      <alignment horizontal="center" vertical="center"/>
    </xf>
    <xf numFmtId="0" fontId="138" fillId="0" borderId="90" xfId="335" applyFont="1" applyBorder="1" applyAlignment="1">
      <alignment horizontal="center" vertical="center"/>
    </xf>
    <xf numFmtId="0" fontId="138" fillId="0" borderId="125" xfId="335" applyFont="1" applyBorder="1" applyAlignment="1">
      <alignment horizontal="center" vertical="center"/>
    </xf>
    <xf numFmtId="173" fontId="146" fillId="0" borderId="18" xfId="0" applyNumberFormat="1" applyFont="1" applyBorder="1" applyAlignment="1">
      <alignment horizontal="center" vertical="center"/>
    </xf>
    <xf numFmtId="0" fontId="146" fillId="0" borderId="90" xfId="335" applyFont="1" applyBorder="1" applyAlignment="1">
      <alignment horizontal="center" vertical="center"/>
    </xf>
    <xf numFmtId="1" fontId="146" fillId="0" borderId="90" xfId="335" applyNumberFormat="1" applyFont="1" applyBorder="1" applyAlignment="1">
      <alignment horizontal="center" vertical="center"/>
    </xf>
    <xf numFmtId="2" fontId="146" fillId="0" borderId="90" xfId="0" applyNumberFormat="1" applyFont="1" applyBorder="1" applyAlignment="1">
      <alignment horizontal="center" vertical="center"/>
    </xf>
    <xf numFmtId="2" fontId="138" fillId="0" borderId="90" xfId="0" applyNumberFormat="1" applyFont="1" applyBorder="1" applyAlignment="1">
      <alignment horizontal="center" vertical="center"/>
    </xf>
    <xf numFmtId="2" fontId="18" fillId="5" borderId="4" xfId="0" applyNumberFormat="1" applyFont="1" applyFill="1" applyBorder="1" applyAlignment="1">
      <alignment horizontal="center" vertical="center" wrapText="1"/>
    </xf>
    <xf numFmtId="2" fontId="18" fillId="5" borderId="42" xfId="0" applyNumberFormat="1" applyFont="1" applyFill="1" applyBorder="1" applyAlignment="1">
      <alignment horizontal="center" vertical="center" wrapText="1"/>
    </xf>
    <xf numFmtId="173" fontId="10" fillId="0" borderId="80" xfId="335" applyNumberFormat="1" applyBorder="1" applyAlignment="1">
      <alignment horizontal="center" vertical="center"/>
    </xf>
    <xf numFmtId="2" fontId="26" fillId="0" borderId="4" xfId="0" applyNumberFormat="1" applyFont="1" applyBorder="1" applyAlignment="1">
      <alignment horizontal="center" vertical="center" wrapText="1"/>
    </xf>
    <xf numFmtId="2" fontId="26" fillId="0" borderId="42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0" fontId="4" fillId="0" borderId="18" xfId="335" applyFont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2" fontId="24" fillId="5" borderId="4" xfId="0" applyNumberFormat="1" applyFont="1" applyFill="1" applyBorder="1" applyAlignment="1">
      <alignment horizontal="center" vertical="center" wrapText="1"/>
    </xf>
    <xf numFmtId="171" fontId="11" fillId="6" borderId="4" xfId="0" applyNumberFormat="1" applyFont="1" applyFill="1" applyBorder="1" applyAlignment="1">
      <alignment horizontal="center" vertical="center"/>
    </xf>
    <xf numFmtId="171" fontId="11" fillId="0" borderId="4" xfId="0" applyNumberFormat="1" applyFont="1" applyBorder="1"/>
    <xf numFmtId="0" fontId="36" fillId="0" borderId="80" xfId="0" applyFont="1" applyBorder="1" applyAlignment="1">
      <alignment horizontal="center" vertical="center" wrapText="1"/>
    </xf>
    <xf numFmtId="0" fontId="6" fillId="0" borderId="80" xfId="0" applyFont="1" applyBorder="1" applyAlignment="1">
      <alignment horizontal="center" vertical="center" wrapText="1"/>
    </xf>
    <xf numFmtId="0" fontId="7" fillId="0" borderId="80" xfId="0" applyFont="1" applyBorder="1" applyAlignment="1">
      <alignment horizontal="center" vertical="center"/>
    </xf>
    <xf numFmtId="0" fontId="40" fillId="0" borderId="80" xfId="0" quotePrefix="1" applyFont="1" applyBorder="1" applyAlignment="1">
      <alignment horizontal="center" vertical="center"/>
    </xf>
    <xf numFmtId="16" fontId="40" fillId="0" borderId="80" xfId="0" quotePrefix="1" applyNumberFormat="1" applyFont="1" applyBorder="1" applyAlignment="1">
      <alignment horizontal="center" vertical="center"/>
    </xf>
    <xf numFmtId="16" fontId="7" fillId="0" borderId="80" xfId="0" quotePrefix="1" applyNumberFormat="1" applyFont="1" applyBorder="1" applyAlignment="1">
      <alignment horizontal="center" vertical="center"/>
    </xf>
    <xf numFmtId="0" fontId="7" fillId="0" borderId="80" xfId="0" quotePrefix="1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40" fillId="0" borderId="80" xfId="0" applyFont="1" applyBorder="1" applyAlignment="1">
      <alignment horizontal="center" vertical="center"/>
    </xf>
    <xf numFmtId="0" fontId="3" fillId="0" borderId="18" xfId="335" applyFont="1"/>
    <xf numFmtId="1" fontId="3" fillId="0" borderId="18" xfId="335" applyNumberFormat="1" applyFont="1"/>
    <xf numFmtId="0" fontId="3" fillId="0" borderId="80" xfId="335" applyFont="1" applyBorder="1" applyAlignment="1">
      <alignment horizontal="center" vertical="center"/>
    </xf>
    <xf numFmtId="0" fontId="10" fillId="82" borderId="80" xfId="335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 vertical="center"/>
    </xf>
    <xf numFmtId="0" fontId="18" fillId="0" borderId="148" xfId="0" applyFont="1" applyBorder="1" applyAlignment="1">
      <alignment horizontal="center" vertical="center" wrapText="1"/>
    </xf>
    <xf numFmtId="2" fontId="18" fillId="0" borderId="151" xfId="0" applyNumberFormat="1" applyFont="1" applyBorder="1" applyAlignment="1">
      <alignment horizontal="center" vertical="center" wrapText="1"/>
    </xf>
    <xf numFmtId="0" fontId="2" fillId="0" borderId="18" xfId="335" applyFont="1" applyAlignment="1">
      <alignment horizontal="center" vertical="center"/>
    </xf>
    <xf numFmtId="1" fontId="2" fillId="0" borderId="18" xfId="335" applyNumberFormat="1" applyFont="1" applyAlignment="1">
      <alignment horizontal="center" vertical="center"/>
    </xf>
    <xf numFmtId="0" fontId="133" fillId="0" borderId="18" xfId="335" applyFont="1" applyAlignment="1">
      <alignment horizontal="center" vertical="center"/>
    </xf>
    <xf numFmtId="0" fontId="7" fillId="82" borderId="80" xfId="0" quotePrefix="1" applyFont="1" applyFill="1" applyBorder="1" applyAlignment="1">
      <alignment horizontal="center" vertical="center"/>
    </xf>
    <xf numFmtId="0" fontId="13" fillId="82" borderId="4" xfId="0" quotePrefix="1" applyFont="1" applyFill="1" applyBorder="1" applyAlignment="1">
      <alignment horizontal="center" vertical="center"/>
    </xf>
    <xf numFmtId="0" fontId="40" fillId="82" borderId="80" xfId="0" quotePrefix="1" applyFont="1" applyFill="1" applyBorder="1" applyAlignment="1">
      <alignment horizontal="center" vertical="center"/>
    </xf>
    <xf numFmtId="16" fontId="40" fillId="82" borderId="80" xfId="0" quotePrefix="1" applyNumberFormat="1" applyFont="1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218" fontId="13" fillId="0" borderId="4" xfId="0" applyNumberFormat="1" applyFont="1" applyBorder="1" applyAlignment="1">
      <alignment horizontal="center"/>
    </xf>
    <xf numFmtId="1" fontId="36" fillId="92" borderId="18" xfId="335" applyNumberFormat="1" applyFont="1" applyFill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10" fillId="87" borderId="80" xfId="335" applyFill="1" applyBorder="1" applyAlignment="1">
      <alignment horizontal="center" vertical="center"/>
    </xf>
    <xf numFmtId="0" fontId="146" fillId="0" borderId="118" xfId="335" applyFont="1" applyBorder="1" applyAlignment="1">
      <alignment horizontal="center" vertical="center"/>
    </xf>
    <xf numFmtId="0" fontId="138" fillId="0" borderId="127" xfId="335" applyFont="1" applyBorder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173" fontId="138" fillId="0" borderId="18" xfId="335" applyNumberFormat="1" applyFont="1" applyAlignment="1">
      <alignment horizontal="center" vertical="center"/>
    </xf>
    <xf numFmtId="1" fontId="138" fillId="0" borderId="18" xfId="335" applyNumberFormat="1" applyFont="1" applyAlignment="1">
      <alignment horizontal="center" vertical="center"/>
    </xf>
    <xf numFmtId="0" fontId="138" fillId="83" borderId="18" xfId="335" applyFont="1" applyFill="1" applyAlignment="1">
      <alignment horizontal="center" vertical="center"/>
    </xf>
    <xf numFmtId="0" fontId="146" fillId="0" borderId="18" xfId="335" applyFont="1" applyAlignment="1">
      <alignment vertical="center" wrapText="1"/>
    </xf>
    <xf numFmtId="0" fontId="36" fillId="84" borderId="80" xfId="335" applyFont="1" applyFill="1" applyBorder="1" applyAlignment="1">
      <alignment horizontal="center" vertical="center"/>
    </xf>
    <xf numFmtId="0" fontId="146" fillId="94" borderId="126" xfId="335" applyFont="1" applyFill="1" applyBorder="1" applyAlignment="1">
      <alignment horizontal="center" vertical="center"/>
    </xf>
    <xf numFmtId="0" fontId="36" fillId="94" borderId="118" xfId="335" applyFont="1" applyFill="1" applyBorder="1" applyAlignment="1">
      <alignment horizontal="center" vertical="center"/>
    </xf>
    <xf numFmtId="0" fontId="146" fillId="94" borderId="118" xfId="335" applyFont="1" applyFill="1" applyBorder="1" applyAlignment="1">
      <alignment horizontal="center" vertical="center"/>
    </xf>
    <xf numFmtId="0" fontId="138" fillId="94" borderId="118" xfId="335" applyFont="1" applyFill="1" applyBorder="1" applyAlignment="1">
      <alignment horizontal="center" vertical="center"/>
    </xf>
    <xf numFmtId="0" fontId="10" fillId="94" borderId="118" xfId="335" applyFill="1" applyBorder="1" applyAlignment="1">
      <alignment horizontal="center" vertical="center"/>
    </xf>
    <xf numFmtId="0" fontId="138" fillId="94" borderId="127" xfId="335" applyFont="1" applyFill="1" applyBorder="1" applyAlignment="1">
      <alignment horizontal="center" vertical="center"/>
    </xf>
    <xf numFmtId="0" fontId="138" fillId="94" borderId="89" xfId="335" applyFont="1" applyFill="1" applyBorder="1" applyAlignment="1">
      <alignment horizontal="center" vertical="center"/>
    </xf>
    <xf numFmtId="0" fontId="138" fillId="94" borderId="18" xfId="335" applyFont="1" applyFill="1" applyAlignment="1">
      <alignment horizontal="center" vertical="center"/>
    </xf>
    <xf numFmtId="0" fontId="10" fillId="94" borderId="18" xfId="335" applyFill="1" applyAlignment="1">
      <alignment horizontal="center" vertical="center"/>
    </xf>
    <xf numFmtId="0" fontId="146" fillId="94" borderId="18" xfId="335" applyFont="1" applyFill="1" applyAlignment="1">
      <alignment horizontal="center" vertical="center"/>
    </xf>
    <xf numFmtId="0" fontId="138" fillId="94" borderId="90" xfId="335" applyFont="1" applyFill="1" applyBorder="1" applyAlignment="1">
      <alignment horizontal="center" vertical="center"/>
    </xf>
    <xf numFmtId="0" fontId="146" fillId="94" borderId="89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146" fillId="94" borderId="90" xfId="335" applyFont="1" applyFill="1" applyBorder="1" applyAlignment="1">
      <alignment horizontal="center" vertical="center"/>
    </xf>
    <xf numFmtId="1" fontId="146" fillId="94" borderId="89" xfId="335" applyNumberFormat="1" applyFont="1" applyFill="1" applyBorder="1" applyAlignment="1">
      <alignment horizontal="center" vertical="center"/>
    </xf>
    <xf numFmtId="1" fontId="146" fillId="94" borderId="18" xfId="335" applyNumberFormat="1" applyFont="1" applyFill="1" applyAlignment="1">
      <alignment horizontal="center" vertical="center"/>
    </xf>
    <xf numFmtId="1" fontId="36" fillId="94" borderId="18" xfId="335" applyNumberFormat="1" applyFont="1" applyFill="1" applyAlignment="1">
      <alignment horizontal="center" vertical="center"/>
    </xf>
    <xf numFmtId="1" fontId="146" fillId="94" borderId="90" xfId="335" applyNumberFormat="1" applyFont="1" applyFill="1" applyBorder="1" applyAlignment="1">
      <alignment horizontal="center" vertical="center"/>
    </xf>
    <xf numFmtId="2" fontId="146" fillId="94" borderId="18" xfId="12" applyNumberFormat="1" applyFont="1" applyFill="1" applyAlignment="1">
      <alignment horizontal="center" vertical="center"/>
    </xf>
    <xf numFmtId="2" fontId="146" fillId="94" borderId="80" xfId="12" applyNumberFormat="1" applyFont="1" applyFill="1" applyBorder="1" applyAlignment="1">
      <alignment horizontal="center" vertical="center"/>
    </xf>
    <xf numFmtId="2" fontId="146" fillId="94" borderId="90" xfId="12" applyNumberFormat="1" applyFont="1" applyFill="1" applyBorder="1" applyAlignment="1">
      <alignment horizontal="center" vertical="center"/>
    </xf>
    <xf numFmtId="0" fontId="146" fillId="94" borderId="124" xfId="335" applyFont="1" applyFill="1" applyBorder="1" applyAlignment="1">
      <alignment horizontal="center" vertical="center"/>
    </xf>
    <xf numFmtId="0" fontId="138" fillId="94" borderId="102" xfId="335" applyFont="1" applyFill="1" applyBorder="1" applyAlignment="1">
      <alignment horizontal="center" vertical="center"/>
    </xf>
    <xf numFmtId="0" fontId="10" fillId="94" borderId="102" xfId="335" applyFill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38" fillId="94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2" fontId="138" fillId="94" borderId="80" xfId="12" applyNumberFormat="1" applyFont="1" applyFill="1" applyBorder="1" applyAlignment="1">
      <alignment horizontal="center" vertical="center"/>
    </xf>
    <xf numFmtId="2" fontId="146" fillId="94" borderId="18" xfId="0" applyNumberFormat="1" applyFont="1" applyFill="1" applyBorder="1" applyAlignment="1">
      <alignment horizontal="center" vertical="center"/>
    </xf>
    <xf numFmtId="0" fontId="36" fillId="87" borderId="79" xfId="335" applyFont="1" applyFill="1" applyBorder="1" applyAlignment="1">
      <alignment horizontal="center" vertical="center"/>
    </xf>
    <xf numFmtId="0" fontId="36" fillId="94" borderId="126" xfId="335" applyFont="1" applyFill="1" applyBorder="1" applyAlignment="1">
      <alignment horizontal="center" vertical="center"/>
    </xf>
    <xf numFmtId="0" fontId="146" fillId="94" borderId="127" xfId="335" applyFont="1" applyFill="1" applyBorder="1" applyAlignment="1">
      <alignment horizontal="center" vertical="center"/>
    </xf>
    <xf numFmtId="2" fontId="146" fillId="94" borderId="90" xfId="0" applyNumberFormat="1" applyFont="1" applyFill="1" applyBorder="1" applyAlignment="1">
      <alignment horizontal="center" vertical="center"/>
    </xf>
    <xf numFmtId="0" fontId="146" fillId="94" borderId="102" xfId="335" applyFont="1" applyFill="1" applyBorder="1" applyAlignment="1">
      <alignment horizontal="center" vertical="center"/>
    </xf>
    <xf numFmtId="0" fontId="146" fillId="94" borderId="125" xfId="335" applyFont="1" applyFill="1" applyBorder="1" applyAlignment="1">
      <alignment horizontal="center" vertical="center"/>
    </xf>
    <xf numFmtId="0" fontId="36" fillId="0" borderId="18" xfId="335" applyFont="1" applyAlignment="1">
      <alignment vertical="center" wrapText="1"/>
    </xf>
    <xf numFmtId="0" fontId="24" fillId="0" borderId="145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 wrapText="1"/>
    </xf>
    <xf numFmtId="219" fontId="13" fillId="0" borderId="80" xfId="0" applyNumberFormat="1" applyFont="1" applyBorder="1" applyAlignment="1">
      <alignment horizontal="center" vertical="center"/>
    </xf>
    <xf numFmtId="178" fontId="26" fillId="0" borderId="43" xfId="0" applyNumberFormat="1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wrapText="1"/>
    </xf>
    <xf numFmtId="0" fontId="26" fillId="11" borderId="80" xfId="0" applyFont="1" applyFill="1" applyBorder="1" applyAlignment="1">
      <alignment horizontal="center" vertical="center" wrapText="1"/>
    </xf>
    <xf numFmtId="0" fontId="26" fillId="11" borderId="80" xfId="0" applyFont="1" applyFill="1" applyBorder="1" applyAlignment="1">
      <alignment vertical="center" wrapText="1"/>
    </xf>
    <xf numFmtId="0" fontId="26" fillId="0" borderId="80" xfId="0" applyFont="1" applyBorder="1" applyAlignment="1">
      <alignment vertical="center" wrapText="1"/>
    </xf>
    <xf numFmtId="0" fontId="26" fillId="0" borderId="80" xfId="0" applyFont="1" applyBorder="1" applyAlignment="1">
      <alignment horizontal="center" vertical="center"/>
    </xf>
    <xf numFmtId="0" fontId="26" fillId="0" borderId="80" xfId="0" applyFont="1" applyBorder="1" applyAlignment="1">
      <alignment vertical="center"/>
    </xf>
    <xf numFmtId="169" fontId="26" fillId="0" borderId="80" xfId="0" applyNumberFormat="1" applyFont="1" applyBorder="1" applyAlignment="1">
      <alignment horizontal="right" vertical="center"/>
    </xf>
    <xf numFmtId="0" fontId="26" fillId="0" borderId="80" xfId="0" applyFont="1" applyBorder="1" applyAlignment="1">
      <alignment horizontal="center" vertical="center" wrapText="1"/>
    </xf>
    <xf numFmtId="169" fontId="26" fillId="0" borderId="80" xfId="0" applyNumberFormat="1" applyFont="1" applyBorder="1" applyAlignment="1">
      <alignment horizontal="center" vertical="center" wrapText="1"/>
    </xf>
    <xf numFmtId="0" fontId="13" fillId="97" borderId="4" xfId="0" applyFont="1" applyFill="1" applyBorder="1" applyAlignment="1">
      <alignment horizontal="center" vertical="center"/>
    </xf>
    <xf numFmtId="178" fontId="149" fillId="0" borderId="72" xfId="0" applyNumberFormat="1" applyFont="1" applyBorder="1" applyAlignment="1">
      <alignment horizontal="center" vertical="center"/>
    </xf>
    <xf numFmtId="178" fontId="26" fillId="0" borderId="72" xfId="0" applyNumberFormat="1" applyFont="1" applyBorder="1" applyAlignment="1">
      <alignment horizontal="center" vertical="center" wrapText="1"/>
    </xf>
    <xf numFmtId="178" fontId="26" fillId="0" borderId="40" xfId="0" applyNumberFormat="1" applyFont="1" applyBorder="1" applyAlignment="1">
      <alignment horizontal="center" vertical="center" wrapText="1"/>
    </xf>
    <xf numFmtId="178" fontId="26" fillId="0" borderId="161" xfId="0" applyNumberFormat="1" applyFont="1" applyBorder="1" applyAlignment="1">
      <alignment horizontal="center" vertical="center" wrapText="1"/>
    </xf>
    <xf numFmtId="178" fontId="11" fillId="0" borderId="72" xfId="0" applyNumberFormat="1" applyFont="1" applyBorder="1" applyAlignment="1">
      <alignment horizontal="center" vertical="center" wrapText="1"/>
    </xf>
    <xf numFmtId="0" fontId="147" fillId="0" borderId="37" xfId="0" applyFont="1" applyBorder="1" applyAlignment="1">
      <alignment horizontal="center"/>
    </xf>
    <xf numFmtId="0" fontId="11" fillId="21" borderId="68" xfId="0" applyFont="1" applyFill="1" applyBorder="1" applyAlignment="1">
      <alignment horizontal="center" vertical="center"/>
    </xf>
    <xf numFmtId="0" fontId="12" fillId="0" borderId="69" xfId="0" applyFont="1" applyBorder="1"/>
    <xf numFmtId="0" fontId="26" fillId="22" borderId="74" xfId="0" applyFont="1" applyFill="1" applyBorder="1" applyAlignment="1">
      <alignment horizontal="center" vertical="center" wrapText="1"/>
    </xf>
    <xf numFmtId="0" fontId="12" fillId="0" borderId="36" xfId="0" applyFont="1" applyBorder="1"/>
    <xf numFmtId="0" fontId="26" fillId="22" borderId="75" xfId="0" applyFont="1" applyFill="1" applyBorder="1" applyAlignment="1">
      <alignment horizontal="center" vertical="center"/>
    </xf>
    <xf numFmtId="0" fontId="12" fillId="0" borderId="11" xfId="0" applyFont="1" applyBorder="1"/>
    <xf numFmtId="0" fontId="26" fillId="22" borderId="75" xfId="0" applyFont="1" applyFill="1" applyBorder="1" applyAlignment="1">
      <alignment horizontal="center" vertical="center" wrapText="1"/>
    </xf>
    <xf numFmtId="0" fontId="26" fillId="22" borderId="71" xfId="0" applyFont="1" applyFill="1" applyBorder="1" applyAlignment="1">
      <alignment horizontal="center" vertical="center" wrapText="1"/>
    </xf>
    <xf numFmtId="0" fontId="12" fillId="0" borderId="27" xfId="0" applyFont="1" applyBorder="1"/>
    <xf numFmtId="0" fontId="12" fillId="0" borderId="26" xfId="0" applyFont="1" applyBorder="1"/>
    <xf numFmtId="0" fontId="26" fillId="22" borderId="76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/>
    </xf>
    <xf numFmtId="0" fontId="26" fillId="0" borderId="8" xfId="0" applyFont="1" applyBorder="1" applyAlignment="1">
      <alignment horizontal="center" vertical="center"/>
    </xf>
    <xf numFmtId="178" fontId="26" fillId="0" borderId="37" xfId="0" applyNumberFormat="1" applyFont="1" applyBorder="1" applyAlignment="1">
      <alignment horizontal="center" vertical="center" wrapText="1"/>
    </xf>
    <xf numFmtId="174" fontId="26" fillId="0" borderId="8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/>
    <xf numFmtId="0" fontId="12" fillId="0" borderId="3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5" borderId="18" xfId="0" applyFont="1" applyFill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21" fillId="2" borderId="140" xfId="0" applyFont="1" applyFill="1" applyBorder="1" applyAlignment="1">
      <alignment horizontal="center" vertical="center" wrapText="1"/>
    </xf>
    <xf numFmtId="0" fontId="12" fillId="0" borderId="141" xfId="0" applyFont="1" applyBorder="1" applyAlignment="1">
      <alignment horizontal="center" vertical="center"/>
    </xf>
    <xf numFmtId="0" fontId="20" fillId="2" borderId="140" xfId="0" applyFont="1" applyFill="1" applyBorder="1" applyAlignment="1">
      <alignment horizontal="center" vertical="center" wrapText="1"/>
    </xf>
    <xf numFmtId="0" fontId="12" fillId="0" borderId="142" xfId="0" applyFont="1" applyBorder="1" applyAlignment="1">
      <alignment horizontal="center" vertical="center"/>
    </xf>
    <xf numFmtId="0" fontId="21" fillId="5" borderId="20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12" fillId="0" borderId="137" xfId="0" applyFont="1" applyBorder="1" applyAlignment="1">
      <alignment horizontal="center" vertical="center"/>
    </xf>
    <xf numFmtId="0" fontId="21" fillId="2" borderId="138" xfId="0" applyFont="1" applyFill="1" applyBorder="1" applyAlignment="1">
      <alignment horizontal="center" vertical="center" wrapText="1"/>
    </xf>
    <xf numFmtId="0" fontId="12" fillId="0" borderId="144" xfId="0" applyFont="1" applyBorder="1" applyAlignment="1">
      <alignment horizontal="center" vertical="center"/>
    </xf>
    <xf numFmtId="0" fontId="21" fillId="2" borderId="139" xfId="0" applyFont="1" applyFill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/>
    </xf>
    <xf numFmtId="0" fontId="20" fillId="5" borderId="148" xfId="0" applyFont="1" applyFill="1" applyBorder="1" applyAlignment="1">
      <alignment horizontal="center" vertical="center" wrapText="1"/>
    </xf>
    <xf numFmtId="0" fontId="20" fillId="5" borderId="149" xfId="0" applyFont="1" applyFill="1" applyBorder="1" applyAlignment="1">
      <alignment horizontal="center" vertical="center" wrapText="1"/>
    </xf>
    <xf numFmtId="0" fontId="20" fillId="5" borderId="145" xfId="0" applyFont="1" applyFill="1" applyBorder="1" applyAlignment="1">
      <alignment horizontal="center" vertical="center" wrapText="1"/>
    </xf>
    <xf numFmtId="0" fontId="21" fillId="2" borderId="143" xfId="0" applyFont="1" applyFill="1" applyBorder="1" applyAlignment="1">
      <alignment horizontal="center" vertical="center" wrapText="1"/>
    </xf>
    <xf numFmtId="0" fontId="12" fillId="0" borderId="145" xfId="0" applyFont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 wrapText="1"/>
    </xf>
    <xf numFmtId="0" fontId="18" fillId="5" borderId="67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20" fillId="0" borderId="80" xfId="0" applyFont="1" applyBorder="1" applyAlignment="1">
      <alignment horizontal="center" vertical="center" wrapText="1"/>
    </xf>
    <xf numFmtId="0" fontId="24" fillId="0" borderId="80" xfId="0" applyFont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21" fillId="4" borderId="25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0" fontId="21" fillId="5" borderId="72" xfId="0" applyFont="1" applyFill="1" applyBorder="1" applyAlignment="1">
      <alignment horizontal="center" vertical="center" wrapText="1"/>
    </xf>
    <xf numFmtId="0" fontId="21" fillId="5" borderId="40" xfId="0" applyFont="1" applyFill="1" applyBorder="1" applyAlignment="1">
      <alignment horizontal="center" vertical="center" wrapText="1"/>
    </xf>
    <xf numFmtId="0" fontId="21" fillId="5" borderId="16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0" fontId="13" fillId="0" borderId="153" xfId="0" applyFont="1" applyBorder="1" applyAlignment="1">
      <alignment horizontal="center" vertical="center"/>
    </xf>
    <xf numFmtId="0" fontId="13" fillId="0" borderId="156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49" xfId="0" applyFont="1" applyBorder="1" applyAlignment="1">
      <alignment horizontal="center"/>
    </xf>
    <xf numFmtId="0" fontId="12" fillId="0" borderId="48" xfId="0" applyFont="1" applyBorder="1"/>
    <xf numFmtId="0" fontId="12" fillId="0" borderId="49" xfId="0" applyFont="1" applyBorder="1"/>
    <xf numFmtId="0" fontId="11" fillId="0" borderId="1" xfId="0" applyFont="1" applyBorder="1" applyAlignment="1">
      <alignment horizontal="center"/>
    </xf>
    <xf numFmtId="0" fontId="11" fillId="19" borderId="1" xfId="0" applyFont="1" applyFill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0" fontId="12" fillId="0" borderId="80" xfId="0" applyFont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36" fillId="92" borderId="18" xfId="335" applyFont="1" applyFill="1" applyAlignment="1">
      <alignment horizontal="center"/>
    </xf>
    <xf numFmtId="16" fontId="36" fillId="92" borderId="18" xfId="335" applyNumberFormat="1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1" fontId="10" fillId="0" borderId="18" xfId="335" applyNumberFormat="1" applyAlignment="1">
      <alignment horizontal="center"/>
    </xf>
    <xf numFmtId="0" fontId="10" fillId="0" borderId="18" xfId="335" applyAlignment="1">
      <alignment horizontal="center"/>
    </xf>
    <xf numFmtId="0" fontId="36" fillId="0" borderId="129" xfId="335" applyFont="1" applyBorder="1" applyAlignment="1">
      <alignment horizontal="center"/>
    </xf>
    <xf numFmtId="0" fontId="36" fillId="0" borderId="128" xfId="335" applyFont="1" applyBorder="1" applyAlignment="1">
      <alignment horizontal="center"/>
    </xf>
    <xf numFmtId="0" fontId="36" fillId="0" borderId="128" xfId="335" applyFont="1" applyBorder="1" applyAlignment="1">
      <alignment horizontal="left" vertical="center"/>
    </xf>
    <xf numFmtId="0" fontId="36" fillId="0" borderId="128" xfId="335" applyFont="1" applyBorder="1" applyAlignment="1">
      <alignment horizontal="center" vertical="center"/>
    </xf>
    <xf numFmtId="1" fontId="36" fillId="0" borderId="80" xfId="335" applyNumberFormat="1" applyFont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/>
    </xf>
    <xf numFmtId="1" fontId="36" fillId="0" borderId="128" xfId="335" applyNumberFormat="1" applyFont="1" applyBorder="1" applyAlignment="1">
      <alignment horizontal="center" vertical="center"/>
    </xf>
    <xf numFmtId="0" fontId="10" fillId="0" borderId="80" xfId="335" applyBorder="1" applyAlignment="1">
      <alignment horizontal="center" vertical="center"/>
    </xf>
    <xf numFmtId="0" fontId="10" fillId="0" borderId="128" xfId="335" applyBorder="1" applyAlignment="1">
      <alignment horizontal="center" vertical="center"/>
    </xf>
    <xf numFmtId="0" fontId="10" fillId="0" borderId="82" xfId="335" applyBorder="1" applyAlignment="1">
      <alignment horizontal="center" vertical="center"/>
    </xf>
    <xf numFmtId="0" fontId="10" fillId="0" borderId="113" xfId="335" applyBorder="1" applyAlignment="1">
      <alignment horizontal="center" vertical="center"/>
    </xf>
    <xf numFmtId="0" fontId="10" fillId="0" borderId="86" xfId="335" applyBorder="1" applyAlignment="1">
      <alignment horizontal="center" vertical="center"/>
    </xf>
    <xf numFmtId="0" fontId="10" fillId="0" borderId="85" xfId="335" applyBorder="1" applyAlignment="1">
      <alignment horizontal="center" vertical="center"/>
    </xf>
    <xf numFmtId="0" fontId="10" fillId="0" borderId="133" xfId="335" applyBorder="1" applyAlignment="1">
      <alignment horizontal="center" vertical="center"/>
    </xf>
    <xf numFmtId="0" fontId="10" fillId="0" borderId="83" xfId="335" applyBorder="1" applyAlignment="1">
      <alignment horizontal="center" vertical="center"/>
    </xf>
    <xf numFmtId="0" fontId="10" fillId="0" borderId="82" xfId="335" applyBorder="1" applyAlignment="1">
      <alignment horizontal="center"/>
    </xf>
    <xf numFmtId="0" fontId="10" fillId="0" borderId="113" xfId="335" applyBorder="1" applyAlignment="1">
      <alignment horizontal="center"/>
    </xf>
    <xf numFmtId="0" fontId="10" fillId="0" borderId="86" xfId="335" applyBorder="1" applyAlignment="1">
      <alignment horizontal="center"/>
    </xf>
    <xf numFmtId="0" fontId="10" fillId="0" borderId="85" xfId="335" applyBorder="1" applyAlignment="1">
      <alignment horizontal="center"/>
    </xf>
    <xf numFmtId="0" fontId="10" fillId="0" borderId="133" xfId="335" applyBorder="1" applyAlignment="1">
      <alignment horizontal="center"/>
    </xf>
    <xf numFmtId="0" fontId="10" fillId="0" borderId="83" xfId="335" applyBorder="1" applyAlignment="1">
      <alignment horizontal="center"/>
    </xf>
    <xf numFmtId="0" fontId="144" fillId="0" borderId="114" xfId="335" applyFont="1" applyBorder="1" applyAlignment="1">
      <alignment horizontal="center" vertical="center"/>
    </xf>
    <xf numFmtId="0" fontId="144" fillId="0" borderId="115" xfId="335" applyFont="1" applyBorder="1" applyAlignment="1">
      <alignment horizontal="center" vertical="center"/>
    </xf>
    <xf numFmtId="0" fontId="144" fillId="0" borderId="119" xfId="335" applyFont="1" applyBorder="1" applyAlignment="1">
      <alignment horizontal="center" vertical="center"/>
    </xf>
    <xf numFmtId="0" fontId="144" fillId="0" borderId="80" xfId="335" applyFont="1" applyBorder="1" applyAlignment="1">
      <alignment horizontal="center" vertical="center"/>
    </xf>
    <xf numFmtId="0" fontId="36" fillId="0" borderId="80" xfId="335" applyFont="1" applyBorder="1" applyAlignment="1">
      <alignment horizontal="left" vertical="center"/>
    </xf>
    <xf numFmtId="2" fontId="36" fillId="0" borderId="80" xfId="335" applyNumberFormat="1" applyFont="1" applyBorder="1" applyAlignment="1">
      <alignment horizontal="center" vertical="center"/>
    </xf>
    <xf numFmtId="0" fontId="36" fillId="0" borderId="135" xfId="335" applyFont="1" applyBorder="1" applyAlignment="1">
      <alignment horizontal="center" vertical="center"/>
    </xf>
    <xf numFmtId="0" fontId="36" fillId="0" borderId="123" xfId="335" applyFont="1" applyBorder="1" applyAlignment="1">
      <alignment horizontal="center" vertical="center"/>
    </xf>
    <xf numFmtId="0" fontId="36" fillId="0" borderId="77" xfId="335" applyFont="1" applyBorder="1" applyAlignment="1">
      <alignment horizontal="left" vertical="center"/>
    </xf>
    <xf numFmtId="0" fontId="36" fillId="0" borderId="120" xfId="335" applyFont="1" applyBorder="1" applyAlignment="1">
      <alignment horizontal="left" vertical="center"/>
    </xf>
    <xf numFmtId="0" fontId="10" fillId="86" borderId="80" xfId="335" applyFill="1" applyBorder="1" applyAlignment="1">
      <alignment horizontal="center"/>
    </xf>
    <xf numFmtId="0" fontId="10" fillId="86" borderId="80" xfId="335" applyFill="1" applyBorder="1" applyAlignment="1">
      <alignment horizontal="center" vertical="center"/>
    </xf>
    <xf numFmtId="0" fontId="10" fillId="86" borderId="128" xfId="335" applyFill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 wrapText="1"/>
    </xf>
    <xf numFmtId="0" fontId="36" fillId="0" borderId="128" xfId="335" applyFont="1" applyBorder="1" applyAlignment="1">
      <alignment horizontal="center" vertical="center" wrapText="1"/>
    </xf>
    <xf numFmtId="16" fontId="10" fillId="0" borderId="81" xfId="335" applyNumberFormat="1" applyBorder="1" applyAlignment="1">
      <alignment horizontal="center"/>
    </xf>
    <xf numFmtId="0" fontId="10" fillId="0" borderId="81" xfId="335" applyBorder="1" applyAlignment="1">
      <alignment horizontal="center"/>
    </xf>
    <xf numFmtId="0" fontId="36" fillId="85" borderId="80" xfId="335" applyFont="1" applyFill="1" applyBorder="1" applyAlignment="1">
      <alignment horizontal="center" vertical="center"/>
    </xf>
    <xf numFmtId="0" fontId="36" fillId="0" borderId="77" xfId="335" applyFont="1" applyBorder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0" fontId="36" fillId="0" borderId="119" xfId="335" applyFont="1" applyBorder="1" applyAlignment="1">
      <alignment horizontal="center"/>
    </xf>
    <xf numFmtId="0" fontId="36" fillId="0" borderId="80" xfId="335" applyFont="1" applyBorder="1" applyAlignment="1">
      <alignment horizontal="center"/>
    </xf>
    <xf numFmtId="0" fontId="36" fillId="0" borderId="18" xfId="335" applyFont="1" applyAlignment="1">
      <alignment horizontal="center"/>
    </xf>
    <xf numFmtId="0" fontId="36" fillId="0" borderId="122" xfId="335" quotePrefix="1" applyFont="1" applyBorder="1" applyAlignment="1">
      <alignment horizontal="center"/>
    </xf>
    <xf numFmtId="0" fontId="36" fillId="0" borderId="122" xfId="335" applyFont="1" applyBorder="1" applyAlignment="1">
      <alignment horizontal="center"/>
    </xf>
    <xf numFmtId="0" fontId="36" fillId="85" borderId="77" xfId="335" applyFont="1" applyFill="1" applyBorder="1" applyAlignment="1">
      <alignment horizontal="center" vertical="center"/>
    </xf>
    <xf numFmtId="0" fontId="36" fillId="85" borderId="120" xfId="335" applyFont="1" applyFill="1" applyBorder="1" applyAlignment="1">
      <alignment horizontal="center" vertical="center"/>
    </xf>
    <xf numFmtId="0" fontId="36" fillId="85" borderId="119" xfId="335" applyFont="1" applyFill="1" applyBorder="1" applyAlignment="1">
      <alignment horizontal="center"/>
    </xf>
    <xf numFmtId="0" fontId="36" fillId="85" borderId="80" xfId="335" applyFont="1" applyFill="1" applyBorder="1" applyAlignment="1">
      <alignment horizontal="center"/>
    </xf>
    <xf numFmtId="2" fontId="36" fillId="0" borderId="122" xfId="335" quotePrefix="1" applyNumberFormat="1" applyFont="1" applyBorder="1" applyAlignment="1">
      <alignment horizontal="center"/>
    </xf>
    <xf numFmtId="0" fontId="132" fillId="0" borderId="112" xfId="335" applyFont="1" applyBorder="1" applyAlignment="1">
      <alignment horizontal="center"/>
    </xf>
    <xf numFmtId="0" fontId="36" fillId="0" borderId="18" xfId="335" quotePrefix="1" applyFont="1" applyAlignment="1">
      <alignment horizontal="center"/>
    </xf>
    <xf numFmtId="16" fontId="36" fillId="0" borderId="122" xfId="335" quotePrefix="1" applyNumberFormat="1" applyFont="1" applyBorder="1" applyAlignment="1">
      <alignment horizontal="center"/>
    </xf>
    <xf numFmtId="0" fontId="132" fillId="82" borderId="117" xfId="335" applyFont="1" applyFill="1" applyBorder="1" applyAlignment="1">
      <alignment horizontal="center" vertical="center"/>
    </xf>
    <xf numFmtId="0" fontId="132" fillId="82" borderId="84" xfId="335" applyFont="1" applyFill="1" applyBorder="1" applyAlignment="1">
      <alignment horizontal="center" vertical="center"/>
    </xf>
    <xf numFmtId="0" fontId="132" fillId="82" borderId="121" xfId="335" applyFont="1" applyFill="1" applyBorder="1" applyAlignment="1">
      <alignment horizontal="center" vertical="center"/>
    </xf>
    <xf numFmtId="176" fontId="36" fillId="0" borderId="80" xfId="335" applyNumberFormat="1" applyFont="1" applyBorder="1" applyAlignment="1">
      <alignment horizontal="center" vertical="center"/>
    </xf>
    <xf numFmtId="12" fontId="36" fillId="0" borderId="122" xfId="335" quotePrefix="1" applyNumberFormat="1" applyFont="1" applyBorder="1" applyAlignment="1">
      <alignment horizontal="center"/>
    </xf>
    <xf numFmtId="12" fontId="36" fillId="0" borderId="122" xfId="335" applyNumberFormat="1" applyFont="1" applyBorder="1" applyAlignment="1">
      <alignment horizontal="center"/>
    </xf>
    <xf numFmtId="0" fontId="136" fillId="84" borderId="86" xfId="335" applyFont="1" applyFill="1" applyBorder="1" applyAlignment="1">
      <alignment horizontal="center"/>
    </xf>
    <xf numFmtId="0" fontId="136" fillId="84" borderId="18" xfId="335" applyFont="1" applyFill="1" applyAlignment="1">
      <alignment horizontal="center"/>
    </xf>
    <xf numFmtId="0" fontId="36" fillId="0" borderId="18" xfId="335" applyFont="1" applyAlignment="1">
      <alignment horizontal="center" vertical="center"/>
    </xf>
    <xf numFmtId="14" fontId="36" fillId="0" borderId="18" xfId="335" applyNumberFormat="1" applyFont="1" applyAlignment="1">
      <alignment horizontal="center" vertical="center"/>
    </xf>
    <xf numFmtId="0" fontId="133" fillId="0" borderId="115" xfId="335" applyFont="1" applyBorder="1" applyAlignment="1">
      <alignment horizontal="center" vertical="center"/>
    </xf>
    <xf numFmtId="0" fontId="133" fillId="0" borderId="134" xfId="335" applyFont="1" applyBorder="1" applyAlignment="1">
      <alignment horizontal="center" vertical="center"/>
    </xf>
    <xf numFmtId="0" fontId="133" fillId="0" borderId="116" xfId="335" applyFont="1" applyBorder="1" applyAlignment="1">
      <alignment horizontal="center" vertical="center"/>
    </xf>
    <xf numFmtId="14" fontId="36" fillId="0" borderId="80" xfId="335" applyNumberFormat="1" applyFont="1" applyBorder="1" applyAlignment="1">
      <alignment horizontal="center" vertical="center"/>
    </xf>
    <xf numFmtId="14" fontId="36" fillId="0" borderId="77" xfId="335" applyNumberFormat="1" applyFont="1" applyBorder="1" applyAlignment="1">
      <alignment horizontal="center" vertical="center"/>
    </xf>
    <xf numFmtId="14" fontId="36" fillId="0" borderId="120" xfId="335" applyNumberFormat="1" applyFont="1" applyBorder="1" applyAlignment="1">
      <alignment horizontal="center" vertical="center"/>
    </xf>
    <xf numFmtId="0" fontId="36" fillId="0" borderId="18" xfId="335" quotePrefix="1" applyFont="1" applyAlignment="1">
      <alignment horizontal="center" vertical="center"/>
    </xf>
    <xf numFmtId="0" fontId="36" fillId="0" borderId="122" xfId="335" quotePrefix="1" applyFont="1" applyBorder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16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10" fillId="0" borderId="122" xfId="335" quotePrefix="1" applyBorder="1" applyAlignment="1">
      <alignment horizontal="center"/>
    </xf>
    <xf numFmtId="0" fontId="10" fillId="0" borderId="122" xfId="335" applyBorder="1" applyAlignment="1">
      <alignment horizontal="center"/>
    </xf>
    <xf numFmtId="2" fontId="36" fillId="0" borderId="18" xfId="335" quotePrefix="1" applyNumberFormat="1" applyFont="1" applyAlignment="1">
      <alignment horizontal="center"/>
    </xf>
    <xf numFmtId="2" fontId="36" fillId="0" borderId="122" xfId="335" applyNumberFormat="1" applyFont="1" applyBorder="1" applyAlignment="1">
      <alignment horizontal="center"/>
    </xf>
    <xf numFmtId="2" fontId="10" fillId="0" borderId="81" xfId="335" applyNumberFormat="1" applyBorder="1" applyAlignment="1">
      <alignment horizontal="center"/>
    </xf>
    <xf numFmtId="1" fontId="10" fillId="0" borderId="81" xfId="335" applyNumberFormat="1" applyBorder="1" applyAlignment="1">
      <alignment horizontal="center"/>
    </xf>
    <xf numFmtId="0" fontId="36" fillId="0" borderId="81" xfId="335" applyFont="1" applyBorder="1" applyAlignment="1">
      <alignment horizontal="center"/>
    </xf>
    <xf numFmtId="0" fontId="138" fillId="0" borderId="80" xfId="335" applyFont="1" applyBorder="1" applyAlignment="1">
      <alignment horizontal="center" vertical="center" wrapText="1"/>
    </xf>
    <xf numFmtId="0" fontId="138" fillId="0" borderId="128" xfId="335" applyFont="1" applyBorder="1" applyAlignment="1">
      <alignment horizontal="center" vertical="center" wrapText="1"/>
    </xf>
    <xf numFmtId="0" fontId="36" fillId="0" borderId="117" xfId="335" applyFont="1" applyBorder="1" applyAlignment="1">
      <alignment horizontal="center"/>
    </xf>
    <xf numFmtId="0" fontId="36" fillId="0" borderId="84" xfId="335" applyFont="1" applyBorder="1" applyAlignment="1">
      <alignment horizontal="center"/>
    </xf>
    <xf numFmtId="0" fontId="36" fillId="0" borderId="121" xfId="335" applyFont="1" applyBorder="1" applyAlignment="1">
      <alignment horizontal="center"/>
    </xf>
    <xf numFmtId="0" fontId="36" fillId="0" borderId="124" xfId="335" applyFont="1" applyBorder="1" applyAlignment="1">
      <alignment horizontal="center"/>
    </xf>
    <xf numFmtId="0" fontId="36" fillId="0" borderId="102" xfId="335" applyFont="1" applyBorder="1" applyAlignment="1">
      <alignment horizontal="center"/>
    </xf>
    <xf numFmtId="0" fontId="10" fillId="0" borderId="80" xfId="335" applyBorder="1" applyAlignment="1">
      <alignment horizontal="center"/>
    </xf>
    <xf numFmtId="0" fontId="10" fillId="0" borderId="128" xfId="335" applyBorder="1" applyAlignment="1">
      <alignment horizontal="center"/>
    </xf>
    <xf numFmtId="0" fontId="138" fillId="86" borderId="131" xfId="335" applyFont="1" applyFill="1" applyBorder="1" applyAlignment="1">
      <alignment horizontal="left"/>
    </xf>
    <xf numFmtId="0" fontId="138" fillId="86" borderId="78" xfId="335" applyFont="1" applyFill="1" applyBorder="1" applyAlignment="1">
      <alignment horizontal="left"/>
    </xf>
    <xf numFmtId="0" fontId="138" fillId="86" borderId="79" xfId="335" applyFont="1" applyFill="1" applyBorder="1" applyAlignment="1">
      <alignment horizontal="left"/>
    </xf>
    <xf numFmtId="0" fontId="10" fillId="86" borderId="131" xfId="335" applyFill="1" applyBorder="1" applyAlignment="1">
      <alignment horizontal="center"/>
    </xf>
    <xf numFmtId="0" fontId="10" fillId="86" borderId="78" xfId="335" applyFill="1" applyBorder="1" applyAlignment="1">
      <alignment horizontal="center"/>
    </xf>
    <xf numFmtId="0" fontId="10" fillId="86" borderId="79" xfId="335" applyFill="1" applyBorder="1" applyAlignment="1">
      <alignment horizontal="center"/>
    </xf>
    <xf numFmtId="0" fontId="138" fillId="86" borderId="89" xfId="335" applyFont="1" applyFill="1" applyBorder="1" applyAlignment="1">
      <alignment horizontal="left"/>
    </xf>
    <xf numFmtId="0" fontId="138" fillId="86" borderId="18" xfId="335" applyFont="1" applyFill="1" applyAlignment="1">
      <alignment horizontal="left"/>
    </xf>
    <xf numFmtId="0" fontId="138" fillId="86" borderId="85" xfId="335" applyFont="1" applyFill="1" applyBorder="1" applyAlignment="1">
      <alignment horizontal="left"/>
    </xf>
    <xf numFmtId="0" fontId="10" fillId="86" borderId="128" xfId="335" applyFill="1" applyBorder="1" applyAlignment="1">
      <alignment horizontal="center"/>
    </xf>
    <xf numFmtId="16" fontId="10" fillId="83" borderId="18" xfId="335" applyNumberFormat="1" applyFill="1" applyAlignment="1">
      <alignment horizontal="center"/>
    </xf>
    <xf numFmtId="0" fontId="10" fillId="83" borderId="18" xfId="335" applyFill="1" applyAlignment="1">
      <alignment horizontal="center"/>
    </xf>
    <xf numFmtId="16" fontId="10" fillId="0" borderId="122" xfId="335" quotePrefix="1" applyNumberFormat="1" applyBorder="1" applyAlignment="1">
      <alignment horizontal="center"/>
    </xf>
    <xf numFmtId="0" fontId="10" fillId="83" borderId="122" xfId="335" quotePrefix="1" applyFill="1" applyBorder="1" applyAlignment="1">
      <alignment horizontal="center"/>
    </xf>
    <xf numFmtId="0" fontId="10" fillId="83" borderId="122" xfId="335" applyFill="1" applyBorder="1" applyAlignment="1">
      <alignment horizontal="center"/>
    </xf>
    <xf numFmtId="0" fontId="141" fillId="0" borderId="122" xfId="335" applyFont="1" applyBorder="1" applyAlignment="1">
      <alignment horizontal="center"/>
    </xf>
    <xf numFmtId="1" fontId="141" fillId="0" borderId="122" xfId="335" applyNumberFormat="1" applyFont="1" applyBorder="1" applyAlignment="1">
      <alignment horizontal="center"/>
    </xf>
    <xf numFmtId="0" fontId="141" fillId="0" borderId="18" xfId="335" applyFont="1" applyAlignment="1">
      <alignment horizontal="center"/>
    </xf>
    <xf numFmtId="2" fontId="10" fillId="0" borderId="18" xfId="335" applyNumberFormat="1" applyAlignment="1">
      <alignment horizontal="center"/>
    </xf>
    <xf numFmtId="1" fontId="36" fillId="0" borderId="122" xfId="335" applyNumberFormat="1" applyFont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46" fillId="94" borderId="18" xfId="335" applyFont="1" applyFill="1" applyAlignment="1">
      <alignment horizontal="center" vertical="center" wrapText="1"/>
    </xf>
    <xf numFmtId="0" fontId="146" fillId="94" borderId="102" xfId="335" applyFont="1" applyFill="1" applyBorder="1" applyAlignment="1">
      <alignment horizontal="center" vertical="center" wrapText="1"/>
    </xf>
    <xf numFmtId="0" fontId="36" fillId="0" borderId="81" xfId="335" applyFont="1" applyBorder="1" applyAlignment="1">
      <alignment horizontal="center" vertical="center"/>
    </xf>
    <xf numFmtId="0" fontId="36" fillId="94" borderId="81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16" fontId="36" fillId="94" borderId="18" xfId="335" quotePrefix="1" applyNumberFormat="1" applyFont="1" applyFill="1" applyAlignment="1">
      <alignment horizontal="center" vertical="center"/>
    </xf>
    <xf numFmtId="16" fontId="36" fillId="0" borderId="18" xfId="335" quotePrefix="1" applyNumberFormat="1" applyFont="1" applyAlignment="1">
      <alignment horizontal="center" vertical="center"/>
    </xf>
    <xf numFmtId="0" fontId="132" fillId="0" borderId="117" xfId="335" applyFont="1" applyBorder="1" applyAlignment="1">
      <alignment horizontal="center" vertical="center"/>
    </xf>
    <xf numFmtId="0" fontId="132" fillId="0" borderId="84" xfId="335" applyFont="1" applyBorder="1" applyAlignment="1">
      <alignment horizontal="center" vertical="center"/>
    </xf>
    <xf numFmtId="0" fontId="132" fillId="0" borderId="121" xfId="335" applyFont="1" applyBorder="1" applyAlignment="1">
      <alignment horizontal="center" vertical="center"/>
    </xf>
    <xf numFmtId="0" fontId="132" fillId="0" borderId="118" xfId="335" applyFont="1" applyBorder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95" borderId="126" xfId="335" applyFont="1" applyFill="1" applyBorder="1" applyAlignment="1">
      <alignment horizontal="center" vertical="center" wrapText="1"/>
    </xf>
    <xf numFmtId="0" fontId="36" fillId="95" borderId="127" xfId="335" applyFont="1" applyFill="1" applyBorder="1" applyAlignment="1">
      <alignment horizontal="center" vertical="center" wrapText="1"/>
    </xf>
    <xf numFmtId="0" fontId="36" fillId="95" borderId="89" xfId="335" applyFont="1" applyFill="1" applyBorder="1" applyAlignment="1">
      <alignment horizontal="center" vertical="center" wrapText="1"/>
    </xf>
    <xf numFmtId="0" fontId="36" fillId="95" borderId="90" xfId="335" applyFont="1" applyFill="1" applyBorder="1" applyAlignment="1">
      <alignment horizontal="center" vertical="center" wrapText="1"/>
    </xf>
    <xf numFmtId="0" fontId="36" fillId="95" borderId="124" xfId="335" applyFont="1" applyFill="1" applyBorder="1" applyAlignment="1">
      <alignment horizontal="center" vertical="center" wrapText="1"/>
    </xf>
    <xf numFmtId="0" fontId="36" fillId="95" borderId="125" xfId="335" applyFont="1" applyFill="1" applyBorder="1" applyAlignment="1">
      <alignment horizontal="center" vertical="center" wrapText="1"/>
    </xf>
    <xf numFmtId="14" fontId="36" fillId="0" borderId="118" xfId="335" applyNumberFormat="1" applyFont="1" applyBorder="1" applyAlignment="1">
      <alignment horizontal="center" vertical="center"/>
    </xf>
    <xf numFmtId="14" fontId="36" fillId="0" borderId="127" xfId="335" applyNumberFormat="1" applyFont="1" applyBorder="1" applyAlignment="1">
      <alignment horizontal="center" vertical="center"/>
    </xf>
    <xf numFmtId="0" fontId="36" fillId="94" borderId="18" xfId="335" quotePrefix="1" applyFont="1" applyFill="1" applyAlignment="1">
      <alignment horizontal="center" vertical="center"/>
    </xf>
    <xf numFmtId="17" fontId="36" fillId="0" borderId="18" xfId="335" quotePrefix="1" applyNumberFormat="1" applyFont="1" applyAlignment="1">
      <alignment horizontal="center" vertical="center"/>
    </xf>
    <xf numFmtId="0" fontId="36" fillId="94" borderId="130" xfId="335" applyFont="1" applyFill="1" applyBorder="1" applyAlignment="1">
      <alignment horizontal="center" vertical="center"/>
    </xf>
    <xf numFmtId="0" fontId="36" fillId="0" borderId="122" xfId="335" applyFont="1" applyBorder="1" applyAlignment="1">
      <alignment horizontal="center" vertical="center"/>
    </xf>
    <xf numFmtId="0" fontId="36" fillId="0" borderId="124" xfId="335" applyFont="1" applyBorder="1" applyAlignment="1">
      <alignment horizontal="center" vertical="center"/>
    </xf>
    <xf numFmtId="0" fontId="36" fillId="0" borderId="102" xfId="335" applyFont="1" applyBorder="1" applyAlignment="1">
      <alignment horizontal="center" vertical="center"/>
    </xf>
    <xf numFmtId="0" fontId="36" fillId="0" borderId="125" xfId="335" applyFont="1" applyBorder="1" applyAlignment="1">
      <alignment horizontal="center" vertical="center"/>
    </xf>
    <xf numFmtId="0" fontId="138" fillId="86" borderId="131" xfId="335" applyFont="1" applyFill="1" applyBorder="1" applyAlignment="1">
      <alignment horizontal="center" vertical="center"/>
    </xf>
    <xf numFmtId="0" fontId="138" fillId="86" borderId="78" xfId="335" applyFont="1" applyFill="1" applyBorder="1" applyAlignment="1">
      <alignment horizontal="center" vertical="center"/>
    </xf>
    <xf numFmtId="0" fontId="138" fillId="86" borderId="79" xfId="335" applyFont="1" applyFill="1" applyBorder="1" applyAlignment="1">
      <alignment horizontal="center" vertical="center"/>
    </xf>
    <xf numFmtId="0" fontId="138" fillId="0" borderId="80" xfId="335" applyFont="1" applyBorder="1" applyAlignment="1">
      <alignment horizontal="center" vertical="center"/>
    </xf>
    <xf numFmtId="0" fontId="138" fillId="86" borderId="89" xfId="335" applyFont="1" applyFill="1" applyBorder="1" applyAlignment="1">
      <alignment horizontal="center" vertical="center"/>
    </xf>
    <xf numFmtId="0" fontId="138" fillId="86" borderId="18" xfId="335" applyFont="1" applyFill="1" applyAlignment="1">
      <alignment horizontal="center" vertical="center"/>
    </xf>
    <xf numFmtId="0" fontId="138" fillId="86" borderId="85" xfId="335" applyFont="1" applyFill="1" applyBorder="1" applyAlignment="1">
      <alignment horizontal="center" vertical="center"/>
    </xf>
    <xf numFmtId="0" fontId="36" fillId="0" borderId="119" xfId="335" applyFont="1" applyBorder="1" applyAlignment="1">
      <alignment horizontal="center" vertical="center"/>
    </xf>
    <xf numFmtId="0" fontId="10" fillId="0" borderId="81" xfId="335" applyBorder="1" applyAlignment="1">
      <alignment horizontal="center" vertical="center"/>
    </xf>
    <xf numFmtId="0" fontId="10" fillId="86" borderId="131" xfId="335" applyFill="1" applyBorder="1" applyAlignment="1">
      <alignment horizontal="center" vertical="center"/>
    </xf>
    <xf numFmtId="0" fontId="10" fillId="86" borderId="78" xfId="335" applyFill="1" applyBorder="1" applyAlignment="1">
      <alignment horizontal="center" vertical="center"/>
    </xf>
    <xf numFmtId="0" fontId="10" fillId="86" borderId="79" xfId="335" applyFill="1" applyBorder="1" applyAlignment="1">
      <alignment horizontal="center" vertical="center"/>
    </xf>
    <xf numFmtId="16" fontId="10" fillId="0" borderId="81" xfId="335" applyNumberFormat="1" applyBorder="1" applyAlignment="1">
      <alignment horizontal="center" vertical="center"/>
    </xf>
    <xf numFmtId="0" fontId="144" fillId="0" borderId="89" xfId="335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0" fontId="144" fillId="0" borderId="130" xfId="335" applyFont="1" applyBorder="1" applyAlignment="1">
      <alignment horizontal="center" vertical="center"/>
    </xf>
    <xf numFmtId="0" fontId="144" fillId="0" borderId="81" xfId="335" applyFont="1" applyBorder="1" applyAlignment="1">
      <alignment horizontal="center" vertical="center"/>
    </xf>
    <xf numFmtId="0" fontId="133" fillId="0" borderId="112" xfId="335" applyFont="1" applyBorder="1" applyAlignment="1">
      <alignment horizontal="center" vertical="center"/>
    </xf>
    <xf numFmtId="0" fontId="133" fillId="0" borderId="136" xfId="335" applyFont="1" applyBorder="1" applyAlignment="1">
      <alignment horizontal="center" vertical="center"/>
    </xf>
    <xf numFmtId="179" fontId="36" fillId="0" borderId="80" xfId="335" applyNumberFormat="1" applyFont="1" applyBorder="1" applyAlignment="1">
      <alignment horizontal="center" vertical="center"/>
    </xf>
    <xf numFmtId="179" fontId="36" fillId="0" borderId="120" xfId="335" applyNumberFormat="1" applyFont="1" applyBorder="1" applyAlignment="1">
      <alignment horizontal="center" vertical="center"/>
    </xf>
    <xf numFmtId="0" fontId="36" fillId="85" borderId="119" xfId="335" applyFont="1" applyFill="1" applyBorder="1" applyAlignment="1">
      <alignment horizontal="center" vertical="center"/>
    </xf>
    <xf numFmtId="1" fontId="36" fillId="0" borderId="77" xfId="335" applyNumberFormat="1" applyFont="1" applyBorder="1" applyAlignment="1">
      <alignment horizontal="center" vertical="center"/>
    </xf>
    <xf numFmtId="1" fontId="36" fillId="0" borderId="78" xfId="335" applyNumberFormat="1" applyFont="1" applyBorder="1" applyAlignment="1">
      <alignment horizontal="center" vertical="center"/>
    </xf>
    <xf numFmtId="1" fontId="36" fillId="0" borderId="79" xfId="335" applyNumberFormat="1" applyFont="1" applyBorder="1" applyAlignment="1">
      <alignment horizontal="center" vertical="center"/>
    </xf>
    <xf numFmtId="0" fontId="36" fillId="0" borderId="78" xfId="335" applyFont="1" applyBorder="1" applyAlignment="1">
      <alignment horizontal="center" vertical="center"/>
    </xf>
    <xf numFmtId="0" fontId="36" fillId="0" borderId="132" xfId="335" applyFont="1" applyBorder="1" applyAlignment="1">
      <alignment horizontal="center" vertical="center"/>
    </xf>
    <xf numFmtId="173" fontId="36" fillId="0" borderId="80" xfId="335" applyNumberFormat="1" applyFont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1" fontId="36" fillId="0" borderId="135" xfId="335" applyNumberFormat="1" applyFont="1" applyBorder="1" applyAlignment="1">
      <alignment horizontal="center" vertical="center"/>
    </xf>
    <xf numFmtId="1" fontId="36" fillId="0" borderId="159" xfId="335" applyNumberFormat="1" applyFont="1" applyBorder="1" applyAlignment="1">
      <alignment horizontal="center" vertical="center"/>
    </xf>
    <xf numFmtId="1" fontId="36" fillId="0" borderId="160" xfId="335" applyNumberFormat="1" applyFont="1" applyBorder="1" applyAlignment="1">
      <alignment horizontal="center" vertical="center"/>
    </xf>
    <xf numFmtId="173" fontId="36" fillId="0" borderId="128" xfId="335" applyNumberFormat="1" applyFont="1" applyBorder="1" applyAlignment="1">
      <alignment horizontal="center" vertical="center"/>
    </xf>
    <xf numFmtId="0" fontId="10" fillId="0" borderId="122" xfId="335" applyBorder="1" applyAlignment="1">
      <alignment horizontal="center" vertical="center"/>
    </xf>
    <xf numFmtId="16" fontId="10" fillId="0" borderId="122" xfId="335" quotePrefix="1" applyNumberFormat="1" applyBorder="1" applyAlignment="1">
      <alignment horizontal="center" vertical="center"/>
    </xf>
    <xf numFmtId="0" fontId="10" fillId="83" borderId="122" xfId="335" quotePrefix="1" applyFill="1" applyBorder="1" applyAlignment="1">
      <alignment horizontal="center" vertical="center"/>
    </xf>
    <xf numFmtId="0" fontId="10" fillId="83" borderId="122" xfId="335" applyFill="1" applyBorder="1" applyAlignment="1">
      <alignment horizontal="center" vertical="center"/>
    </xf>
    <xf numFmtId="0" fontId="36" fillId="0" borderId="129" xfId="335" applyFont="1" applyBorder="1" applyAlignment="1">
      <alignment horizontal="center" vertical="center"/>
    </xf>
    <xf numFmtId="0" fontId="10" fillId="0" borderId="18" xfId="335" applyAlignment="1">
      <alignment horizontal="center" vertical="center"/>
    </xf>
    <xf numFmtId="16" fontId="10" fillId="83" borderId="18" xfId="335" applyNumberFormat="1" applyFill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38" fillId="0" borderId="128" xfId="335" applyFont="1" applyBorder="1" applyAlignment="1">
      <alignment horizontal="center" vertical="center"/>
    </xf>
    <xf numFmtId="0" fontId="148" fillId="96" borderId="126" xfId="335" applyFont="1" applyFill="1" applyBorder="1" applyAlignment="1">
      <alignment horizontal="center" vertical="center" wrapText="1"/>
    </xf>
    <xf numFmtId="0" fontId="148" fillId="96" borderId="118" xfId="335" applyFont="1" applyFill="1" applyBorder="1" applyAlignment="1">
      <alignment horizontal="center" vertical="center" wrapText="1"/>
    </xf>
    <xf numFmtId="0" fontId="148" fillId="96" borderId="127" xfId="335" applyFont="1" applyFill="1" applyBorder="1" applyAlignment="1">
      <alignment horizontal="center" vertical="center" wrapText="1"/>
    </xf>
    <xf numFmtId="0" fontId="148" fillId="96" borderId="89" xfId="335" applyFont="1" applyFill="1" applyBorder="1" applyAlignment="1">
      <alignment horizontal="center" vertical="center" wrapText="1"/>
    </xf>
    <xf numFmtId="0" fontId="148" fillId="96" borderId="18" xfId="335" applyFont="1" applyFill="1" applyAlignment="1">
      <alignment horizontal="center" vertical="center" wrapText="1"/>
    </xf>
    <xf numFmtId="0" fontId="148" fillId="96" borderId="90" xfId="335" applyFont="1" applyFill="1" applyBorder="1" applyAlignment="1">
      <alignment horizontal="center" vertical="center" wrapText="1"/>
    </xf>
    <xf numFmtId="0" fontId="148" fillId="96" borderId="124" xfId="335" applyFont="1" applyFill="1" applyBorder="1" applyAlignment="1">
      <alignment horizontal="center" vertical="center" wrapText="1"/>
    </xf>
    <xf numFmtId="0" fontId="148" fillId="96" borderId="102" xfId="335" applyFont="1" applyFill="1" applyBorder="1" applyAlignment="1">
      <alignment horizontal="center" vertical="center" wrapText="1"/>
    </xf>
    <xf numFmtId="0" fontId="148" fillId="96" borderId="125" xfId="335" applyFont="1" applyFill="1" applyBorder="1" applyAlignment="1">
      <alignment horizontal="center" vertical="center" wrapText="1"/>
    </xf>
    <xf numFmtId="0" fontId="36" fillId="95" borderId="126" xfId="335" applyFont="1" applyFill="1" applyBorder="1" applyAlignment="1">
      <alignment horizontal="center" vertical="center"/>
    </xf>
    <xf numFmtId="0" fontId="36" fillId="95" borderId="127" xfId="335" applyFont="1" applyFill="1" applyBorder="1" applyAlignment="1">
      <alignment horizontal="center" vertical="center"/>
    </xf>
    <xf numFmtId="0" fontId="36" fillId="95" borderId="89" xfId="335" applyFont="1" applyFill="1" applyBorder="1" applyAlignment="1">
      <alignment horizontal="center" vertical="center"/>
    </xf>
    <xf numFmtId="0" fontId="36" fillId="95" borderId="90" xfId="335" applyFont="1" applyFill="1" applyBorder="1" applyAlignment="1">
      <alignment horizontal="center" vertical="center"/>
    </xf>
    <xf numFmtId="0" fontId="36" fillId="95" borderId="124" xfId="335" applyFont="1" applyFill="1" applyBorder="1" applyAlignment="1">
      <alignment horizontal="center" vertical="center"/>
    </xf>
    <xf numFmtId="0" fontId="36" fillId="95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0" fontId="36" fillId="94" borderId="124" xfId="335" applyFont="1" applyFill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12" fillId="0" borderId="40" xfId="0" applyFont="1" applyBorder="1"/>
    <xf numFmtId="0" fontId="12" fillId="0" borderId="37" xfId="0" applyFont="1" applyBorder="1"/>
    <xf numFmtId="0" fontId="13" fillId="0" borderId="72" xfId="0" applyFont="1" applyBorder="1" applyAlignment="1">
      <alignment horizontal="center" vertical="center" wrapText="1"/>
    </xf>
    <xf numFmtId="0" fontId="11" fillId="2" borderId="68" xfId="0" applyFont="1" applyFill="1" applyBorder="1" applyAlignment="1">
      <alignment horizontal="center"/>
    </xf>
    <xf numFmtId="0" fontId="12" fillId="0" borderId="70" xfId="0" applyFont="1" applyBorder="1"/>
    <xf numFmtId="0" fontId="11" fillId="2" borderId="25" xfId="0" applyFont="1" applyFill="1" applyBorder="1" applyAlignment="1">
      <alignment horizont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42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252535</xdr:colOff>
      <xdr:row>129</xdr:row>
      <xdr:rowOff>193070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783573" y="24781056"/>
          <a:ext cx="519723" cy="384079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42316</xdr:colOff>
      <xdr:row>11</xdr:row>
      <xdr:rowOff>10747</xdr:rowOff>
    </xdr:from>
    <xdr:to>
      <xdr:col>7</xdr:col>
      <xdr:colOff>221881</xdr:colOff>
      <xdr:row>11</xdr:row>
      <xdr:rowOff>21331</xdr:rowOff>
    </xdr:to>
    <xdr:cxnSp macro="">
      <xdr:nvCxnSpPr>
        <xdr:cNvPr id="936" name="Curved Connector 523">
          <a:extLst>
            <a:ext uri="{FF2B5EF4-FFF2-40B4-BE49-F238E27FC236}">
              <a16:creationId xmlns:a16="http://schemas.microsoft.com/office/drawing/2014/main" id="{40333D1B-E25C-4A83-BF79-9BCA40F317FB}"/>
            </a:ext>
          </a:extLst>
        </xdr:cNvPr>
        <xdr:cNvCxnSpPr/>
      </xdr:nvCxnSpPr>
      <xdr:spPr>
        <a:xfrm rot="16200000" flipH="1">
          <a:off x="1870614" y="1738449"/>
          <a:ext cx="10584" cy="7559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156307</xdr:colOff>
      <xdr:row>65</xdr:row>
      <xdr:rowOff>146539</xdr:rowOff>
    </xdr:from>
    <xdr:to>
      <xdr:col>11</xdr:col>
      <xdr:colOff>71753</xdr:colOff>
      <xdr:row>66</xdr:row>
      <xdr:rowOff>146538</xdr:rowOff>
    </xdr:to>
    <xdr:sp macro="" textlink="">
      <xdr:nvSpPr>
        <xdr:cNvPr id="940" name="5-Point Star 520">
          <a:extLst>
            <a:ext uri="{FF2B5EF4-FFF2-40B4-BE49-F238E27FC236}">
              <a16:creationId xmlns:a16="http://schemas.microsoft.com/office/drawing/2014/main" id="{97A6FB13-4BDE-49D6-8BEA-67074932BA02}"/>
            </a:ext>
          </a:extLst>
        </xdr:cNvPr>
        <xdr:cNvSpPr/>
      </xdr:nvSpPr>
      <xdr:spPr>
        <a:xfrm flipH="1">
          <a:off x="3145692" y="122701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181708</xdr:colOff>
      <xdr:row>65</xdr:row>
      <xdr:rowOff>132861</xdr:rowOff>
    </xdr:from>
    <xdr:to>
      <xdr:col>8</xdr:col>
      <xdr:colOff>97153</xdr:colOff>
      <xdr:row>66</xdr:row>
      <xdr:rowOff>132860</xdr:rowOff>
    </xdr:to>
    <xdr:sp macro="" textlink="">
      <xdr:nvSpPr>
        <xdr:cNvPr id="941" name="5-Point Star 520">
          <a:extLst>
            <a:ext uri="{FF2B5EF4-FFF2-40B4-BE49-F238E27FC236}">
              <a16:creationId xmlns:a16="http://schemas.microsoft.com/office/drawing/2014/main" id="{40ECA6B4-6970-4DD3-873A-78DEC944B181}"/>
            </a:ext>
          </a:extLst>
        </xdr:cNvPr>
        <xdr:cNvSpPr/>
      </xdr:nvSpPr>
      <xdr:spPr>
        <a:xfrm flipH="1">
          <a:off x="2213708" y="122564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168031</xdr:colOff>
      <xdr:row>56</xdr:row>
      <xdr:rowOff>119184</xdr:rowOff>
    </xdr:from>
    <xdr:to>
      <xdr:col>29</xdr:col>
      <xdr:colOff>103015</xdr:colOff>
      <xdr:row>57</xdr:row>
      <xdr:rowOff>119184</xdr:rowOff>
    </xdr:to>
    <xdr:sp macro="" textlink="">
      <xdr:nvSpPr>
        <xdr:cNvPr id="942" name="5-Point Star 520">
          <a:extLst>
            <a:ext uri="{FF2B5EF4-FFF2-40B4-BE49-F238E27FC236}">
              <a16:creationId xmlns:a16="http://schemas.microsoft.com/office/drawing/2014/main" id="{FBCB553F-FDE2-4433-99FA-11AADC14CFB8}"/>
            </a:ext>
          </a:extLst>
        </xdr:cNvPr>
        <xdr:cNvSpPr/>
      </xdr:nvSpPr>
      <xdr:spPr>
        <a:xfrm flipH="1">
          <a:off x="8706339" y="10572261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154354</xdr:colOff>
      <xdr:row>56</xdr:row>
      <xdr:rowOff>115277</xdr:rowOff>
    </xdr:from>
    <xdr:to>
      <xdr:col>26</xdr:col>
      <xdr:colOff>69800</xdr:colOff>
      <xdr:row>57</xdr:row>
      <xdr:rowOff>115277</xdr:rowOff>
    </xdr:to>
    <xdr:sp macro="" textlink="">
      <xdr:nvSpPr>
        <xdr:cNvPr id="943" name="5-Point Star 520">
          <a:extLst>
            <a:ext uri="{FF2B5EF4-FFF2-40B4-BE49-F238E27FC236}">
              <a16:creationId xmlns:a16="http://schemas.microsoft.com/office/drawing/2014/main" id="{9DFBFF4F-70E2-4C2A-A9B2-E6F9AF33D981}"/>
            </a:ext>
          </a:extLst>
        </xdr:cNvPr>
        <xdr:cNvSpPr/>
      </xdr:nvSpPr>
      <xdr:spPr>
        <a:xfrm flipH="1">
          <a:off x="7754816" y="105683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166078</xdr:colOff>
      <xdr:row>65</xdr:row>
      <xdr:rowOff>107461</xdr:rowOff>
    </xdr:from>
    <xdr:to>
      <xdr:col>14</xdr:col>
      <xdr:colOff>81523</xdr:colOff>
      <xdr:row>66</xdr:row>
      <xdr:rowOff>107460</xdr:rowOff>
    </xdr:to>
    <xdr:sp macro="" textlink="">
      <xdr:nvSpPr>
        <xdr:cNvPr id="944" name="5-Point Star 520">
          <a:extLst>
            <a:ext uri="{FF2B5EF4-FFF2-40B4-BE49-F238E27FC236}">
              <a16:creationId xmlns:a16="http://schemas.microsoft.com/office/drawing/2014/main" id="{F47D7937-0B94-4C6B-AC71-9AC6324604BC}"/>
            </a:ext>
          </a:extLst>
        </xdr:cNvPr>
        <xdr:cNvSpPr/>
      </xdr:nvSpPr>
      <xdr:spPr>
        <a:xfrm flipH="1">
          <a:off x="4112847" y="122310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174361</xdr:colOff>
      <xdr:row>119</xdr:row>
      <xdr:rowOff>105001</xdr:rowOff>
    </xdr:from>
    <xdr:to>
      <xdr:col>35</xdr:col>
      <xdr:colOff>92360</xdr:colOff>
      <xdr:row>120</xdr:row>
      <xdr:rowOff>105001</xdr:rowOff>
    </xdr:to>
    <xdr:sp macro="" textlink="">
      <xdr:nvSpPr>
        <xdr:cNvPr id="945" name="5-Point Star 520">
          <a:extLst>
            <a:ext uri="{FF2B5EF4-FFF2-40B4-BE49-F238E27FC236}">
              <a16:creationId xmlns:a16="http://schemas.microsoft.com/office/drawing/2014/main" id="{408534C8-458C-47BA-8694-11A4197E5A83}"/>
            </a:ext>
          </a:extLst>
        </xdr:cNvPr>
        <xdr:cNvSpPr/>
      </xdr:nvSpPr>
      <xdr:spPr>
        <a:xfrm flipH="1">
          <a:off x="10510207" y="22251847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87922</xdr:colOff>
      <xdr:row>2</xdr:row>
      <xdr:rowOff>19540</xdr:rowOff>
    </xdr:from>
    <xdr:to>
      <xdr:col>31</xdr:col>
      <xdr:colOff>215284</xdr:colOff>
      <xdr:row>2</xdr:row>
      <xdr:rowOff>30124</xdr:rowOff>
    </xdr:to>
    <xdr:cxnSp macro="">
      <xdr:nvCxnSpPr>
        <xdr:cNvPr id="938" name="Curved Connector 523">
          <a:extLst>
            <a:ext uri="{FF2B5EF4-FFF2-40B4-BE49-F238E27FC236}">
              <a16:creationId xmlns:a16="http://schemas.microsoft.com/office/drawing/2014/main" id="{853B7633-9FAA-44AE-9232-CF1361E1CFA4}"/>
            </a:ext>
          </a:extLst>
        </xdr:cNvPr>
        <xdr:cNvCxnSpPr/>
      </xdr:nvCxnSpPr>
      <xdr:spPr>
        <a:xfrm rot="16200000" flipH="1">
          <a:off x="9261004" y="78381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93783</xdr:colOff>
      <xdr:row>2</xdr:row>
      <xdr:rowOff>5862</xdr:rowOff>
    </xdr:from>
    <xdr:to>
      <xdr:col>28</xdr:col>
      <xdr:colOff>191837</xdr:colOff>
      <xdr:row>2</xdr:row>
      <xdr:rowOff>16446</xdr:rowOff>
    </xdr:to>
    <xdr:cxnSp macro="">
      <xdr:nvCxnSpPr>
        <xdr:cNvPr id="939" name="Curved Connector 523">
          <a:extLst>
            <a:ext uri="{FF2B5EF4-FFF2-40B4-BE49-F238E27FC236}">
              <a16:creationId xmlns:a16="http://schemas.microsoft.com/office/drawing/2014/main" id="{D78465CA-66CF-40EA-AAB2-A57C41C3963E}"/>
            </a:ext>
          </a:extLst>
        </xdr:cNvPr>
        <xdr:cNvCxnSpPr/>
      </xdr:nvCxnSpPr>
      <xdr:spPr>
        <a:xfrm rot="16200000" flipH="1">
          <a:off x="8348557" y="64703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87923</xdr:colOff>
      <xdr:row>2</xdr:row>
      <xdr:rowOff>29309</xdr:rowOff>
    </xdr:from>
    <xdr:to>
      <xdr:col>34</xdr:col>
      <xdr:colOff>215285</xdr:colOff>
      <xdr:row>2</xdr:row>
      <xdr:rowOff>39893</xdr:rowOff>
    </xdr:to>
    <xdr:cxnSp macro="">
      <xdr:nvCxnSpPr>
        <xdr:cNvPr id="946" name="Curved Connector 523">
          <a:extLst>
            <a:ext uri="{FF2B5EF4-FFF2-40B4-BE49-F238E27FC236}">
              <a16:creationId xmlns:a16="http://schemas.microsoft.com/office/drawing/2014/main" id="{FFE9FF13-DD6E-4E45-95B7-EC3B436FB5CB}"/>
            </a:ext>
          </a:extLst>
        </xdr:cNvPr>
        <xdr:cNvCxnSpPr/>
      </xdr:nvCxnSpPr>
      <xdr:spPr>
        <a:xfrm rot="16200000" flipH="1">
          <a:off x="10169543" y="88150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23446</xdr:colOff>
      <xdr:row>104</xdr:row>
      <xdr:rowOff>157285</xdr:rowOff>
    </xdr:from>
    <xdr:to>
      <xdr:col>56</xdr:col>
      <xdr:colOff>224753</xdr:colOff>
      <xdr:row>105</xdr:row>
      <xdr:rowOff>157285</xdr:rowOff>
    </xdr:to>
    <xdr:sp macro="" textlink="">
      <xdr:nvSpPr>
        <xdr:cNvPr id="947" name="5-Point Star 520">
          <a:extLst>
            <a:ext uri="{FF2B5EF4-FFF2-40B4-BE49-F238E27FC236}">
              <a16:creationId xmlns:a16="http://schemas.microsoft.com/office/drawing/2014/main" id="{379D147A-8310-40D1-A81A-5EB0E13807B3}"/>
            </a:ext>
          </a:extLst>
        </xdr:cNvPr>
        <xdr:cNvSpPr/>
      </xdr:nvSpPr>
      <xdr:spPr>
        <a:xfrm flipH="1">
          <a:off x="18897600" y="1951990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183661</xdr:colOff>
      <xdr:row>110</xdr:row>
      <xdr:rowOff>125046</xdr:rowOff>
    </xdr:from>
    <xdr:to>
      <xdr:col>26</xdr:col>
      <xdr:colOff>101661</xdr:colOff>
      <xdr:row>111</xdr:row>
      <xdr:rowOff>125047</xdr:rowOff>
    </xdr:to>
    <xdr:sp macro="" textlink="">
      <xdr:nvSpPr>
        <xdr:cNvPr id="951" name="5-Point Star 520">
          <a:extLst>
            <a:ext uri="{FF2B5EF4-FFF2-40B4-BE49-F238E27FC236}">
              <a16:creationId xmlns:a16="http://schemas.microsoft.com/office/drawing/2014/main" id="{815CB061-5402-4293-829A-5A6489858B2D}"/>
            </a:ext>
          </a:extLst>
        </xdr:cNvPr>
        <xdr:cNvSpPr/>
      </xdr:nvSpPr>
      <xdr:spPr>
        <a:xfrm flipH="1">
          <a:off x="7784123" y="206013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179754</xdr:colOff>
      <xdr:row>119</xdr:row>
      <xdr:rowOff>130908</xdr:rowOff>
    </xdr:from>
    <xdr:to>
      <xdr:col>32</xdr:col>
      <xdr:colOff>97754</xdr:colOff>
      <xdr:row>120</xdr:row>
      <xdr:rowOff>130908</xdr:rowOff>
    </xdr:to>
    <xdr:sp macro="" textlink="">
      <xdr:nvSpPr>
        <xdr:cNvPr id="952" name="5-Point Star 520">
          <a:extLst>
            <a:ext uri="{FF2B5EF4-FFF2-40B4-BE49-F238E27FC236}">
              <a16:creationId xmlns:a16="http://schemas.microsoft.com/office/drawing/2014/main" id="{02DD2FB4-8D8E-48DB-B285-FF6F3F8BCFEE}"/>
            </a:ext>
          </a:extLst>
        </xdr:cNvPr>
        <xdr:cNvSpPr/>
      </xdr:nvSpPr>
      <xdr:spPr>
        <a:xfrm flipH="1">
          <a:off x="9607062" y="222777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173892</xdr:colOff>
      <xdr:row>92</xdr:row>
      <xdr:rowOff>133839</xdr:rowOff>
    </xdr:from>
    <xdr:to>
      <xdr:col>23</xdr:col>
      <xdr:colOff>91891</xdr:colOff>
      <xdr:row>93</xdr:row>
      <xdr:rowOff>133840</xdr:rowOff>
    </xdr:to>
    <xdr:sp macro="" textlink="">
      <xdr:nvSpPr>
        <xdr:cNvPr id="953" name="5-Point Star 520">
          <a:extLst>
            <a:ext uri="{FF2B5EF4-FFF2-40B4-BE49-F238E27FC236}">
              <a16:creationId xmlns:a16="http://schemas.microsoft.com/office/drawing/2014/main" id="{70C8F1AA-D6FA-4AD7-ACB3-EEFC76F017DB}"/>
            </a:ext>
          </a:extLst>
        </xdr:cNvPr>
        <xdr:cNvSpPr/>
      </xdr:nvSpPr>
      <xdr:spPr>
        <a:xfrm flipH="1">
          <a:off x="6856046" y="1726907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166077</xdr:colOff>
      <xdr:row>2</xdr:row>
      <xdr:rowOff>156308</xdr:rowOff>
    </xdr:from>
    <xdr:to>
      <xdr:col>29</xdr:col>
      <xdr:colOff>111395</xdr:colOff>
      <xdr:row>3</xdr:row>
      <xdr:rowOff>156308</xdr:rowOff>
    </xdr:to>
    <xdr:sp macro="" textlink="">
      <xdr:nvSpPr>
        <xdr:cNvPr id="937" name="5-Point Star 520">
          <a:extLst>
            <a:ext uri="{FF2B5EF4-FFF2-40B4-BE49-F238E27FC236}">
              <a16:creationId xmlns:a16="http://schemas.microsoft.com/office/drawing/2014/main" id="{BDBE2049-D39C-4A13-BBE9-27FF5A912832}"/>
            </a:ext>
          </a:extLst>
        </xdr:cNvPr>
        <xdr:cNvSpPr/>
      </xdr:nvSpPr>
      <xdr:spPr>
        <a:xfrm flipH="1">
          <a:off x="8704385" y="586154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181708</xdr:colOff>
      <xdr:row>11</xdr:row>
      <xdr:rowOff>142631</xdr:rowOff>
    </xdr:from>
    <xdr:to>
      <xdr:col>32</xdr:col>
      <xdr:colOff>107488</xdr:colOff>
      <xdr:row>12</xdr:row>
      <xdr:rowOff>142632</xdr:rowOff>
    </xdr:to>
    <xdr:sp macro="" textlink="">
      <xdr:nvSpPr>
        <xdr:cNvPr id="949" name="5-Point Star 520">
          <a:extLst>
            <a:ext uri="{FF2B5EF4-FFF2-40B4-BE49-F238E27FC236}">
              <a16:creationId xmlns:a16="http://schemas.microsoft.com/office/drawing/2014/main" id="{A1D3ADD9-3273-4747-A5D5-4EB79E8D6305}"/>
            </a:ext>
          </a:extLst>
        </xdr:cNvPr>
        <xdr:cNvSpPr/>
      </xdr:nvSpPr>
      <xdr:spPr>
        <a:xfrm flipH="1">
          <a:off x="9609016" y="2243016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158261</xdr:colOff>
      <xdr:row>11</xdr:row>
      <xdr:rowOff>138723</xdr:rowOff>
    </xdr:from>
    <xdr:to>
      <xdr:col>29</xdr:col>
      <xdr:colOff>103579</xdr:colOff>
      <xdr:row>12</xdr:row>
      <xdr:rowOff>138724</xdr:rowOff>
    </xdr:to>
    <xdr:sp macro="" textlink="">
      <xdr:nvSpPr>
        <xdr:cNvPr id="950" name="5-Point Star 520">
          <a:extLst>
            <a:ext uri="{FF2B5EF4-FFF2-40B4-BE49-F238E27FC236}">
              <a16:creationId xmlns:a16="http://schemas.microsoft.com/office/drawing/2014/main" id="{D511F36B-8830-4D50-B823-FE738A3A1B5A}"/>
            </a:ext>
          </a:extLst>
        </xdr:cNvPr>
        <xdr:cNvSpPr/>
      </xdr:nvSpPr>
      <xdr:spPr>
        <a:xfrm flipH="1">
          <a:off x="8696569" y="2239108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11856</xdr:colOff>
      <xdr:row>127</xdr:row>
      <xdr:rowOff>175847</xdr:rowOff>
    </xdr:from>
    <xdr:to>
      <xdr:col>8</xdr:col>
      <xdr:colOff>6849</xdr:colOff>
      <xdr:row>128</xdr:row>
      <xdr:rowOff>1</xdr:rowOff>
    </xdr:to>
    <xdr:cxnSp macro="">
      <xdr:nvCxnSpPr>
        <xdr:cNvPr id="921" name="Curved Connector 522">
          <a:extLst>
            <a:ext uri="{FF2B5EF4-FFF2-40B4-BE49-F238E27FC236}">
              <a16:creationId xmlns:a16="http://schemas.microsoft.com/office/drawing/2014/main" id="{F86F2148-53D5-46F1-B6B8-A6DBED65A4B4}"/>
            </a:ext>
          </a:extLst>
        </xdr:cNvPr>
        <xdr:cNvCxnSpPr>
          <a:stCxn id="421" idx="0"/>
          <a:endCxn id="80" idx="0"/>
        </xdr:cNvCxnSpPr>
      </xdr:nvCxnSpPr>
      <xdr:spPr>
        <a:xfrm rot="5400000" flipH="1" flipV="1">
          <a:off x="1753797" y="2437227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12530</xdr:colOff>
      <xdr:row>128</xdr:row>
      <xdr:rowOff>8919</xdr:rowOff>
    </xdr:from>
    <xdr:to>
      <xdr:col>8</xdr:col>
      <xdr:colOff>249923</xdr:colOff>
      <xdr:row>129</xdr:row>
      <xdr:rowOff>192091</xdr:rowOff>
    </xdr:to>
    <xdr:sp macro="" textlink="">
      <xdr:nvSpPr>
        <xdr:cNvPr id="957" name="Isosceles Triangle 956">
          <a:extLst>
            <a:ext uri="{FF2B5EF4-FFF2-40B4-BE49-F238E27FC236}">
              <a16:creationId xmlns:a16="http://schemas.microsoft.com/office/drawing/2014/main" id="{5795B532-DE8A-4867-8E21-97FC78A4B82E}"/>
            </a:ext>
          </a:extLst>
        </xdr:cNvPr>
        <xdr:cNvSpPr/>
      </xdr:nvSpPr>
      <xdr:spPr>
        <a:xfrm>
          <a:off x="1903726" y="24787723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32</xdr:col>
      <xdr:colOff>12472</xdr:colOff>
      <xdr:row>118</xdr:row>
      <xdr:rowOff>173107</xdr:rowOff>
    </xdr:from>
    <xdr:to>
      <xdr:col>35</xdr:col>
      <xdr:colOff>12472</xdr:colOff>
      <xdr:row>118</xdr:row>
      <xdr:rowOff>185807</xdr:rowOff>
    </xdr:to>
    <xdr:cxnSp macro="">
      <xdr:nvCxnSpPr>
        <xdr:cNvPr id="959" name="Curved Connector 522">
          <a:extLst>
            <a:ext uri="{FF2B5EF4-FFF2-40B4-BE49-F238E27FC236}">
              <a16:creationId xmlns:a16="http://schemas.microsoft.com/office/drawing/2014/main" id="{1F8B9B2C-B066-468E-9E00-4EA79FEBEE23}"/>
            </a:ext>
          </a:extLst>
        </xdr:cNvPr>
        <xdr:cNvCxnSpPr/>
      </xdr:nvCxnSpPr>
      <xdr:spPr>
        <a:xfrm rot="5400000" flipH="1" flipV="1">
          <a:off x="9531122" y="22597718"/>
          <a:ext cx="12700" cy="855870"/>
        </a:xfrm>
        <a:prstGeom prst="curvedConnector3">
          <a:avLst>
            <a:gd name="adj1" fmla="val -70000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-1</xdr:colOff>
      <xdr:row>118</xdr:row>
      <xdr:rowOff>151848</xdr:rowOff>
    </xdr:from>
    <xdr:to>
      <xdr:col>32</xdr:col>
      <xdr:colOff>0</xdr:colOff>
      <xdr:row>118</xdr:row>
      <xdr:rowOff>164548</xdr:rowOff>
    </xdr:to>
    <xdr:cxnSp macro="">
      <xdr:nvCxnSpPr>
        <xdr:cNvPr id="970" name="Curved Connector 522">
          <a:extLst>
            <a:ext uri="{FF2B5EF4-FFF2-40B4-BE49-F238E27FC236}">
              <a16:creationId xmlns:a16="http://schemas.microsoft.com/office/drawing/2014/main" id="{100DA30A-8274-4D30-BC3E-A0038686B359}"/>
            </a:ext>
          </a:extLst>
        </xdr:cNvPr>
        <xdr:cNvCxnSpPr/>
      </xdr:nvCxnSpPr>
      <xdr:spPr>
        <a:xfrm rot="5400000" flipH="1" flipV="1">
          <a:off x="8662780" y="22576459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232487</xdr:colOff>
      <xdr:row>129</xdr:row>
      <xdr:rowOff>185424</xdr:rowOff>
    </xdr:to>
    <xdr:sp macro="" textlink="">
      <xdr:nvSpPr>
        <xdr:cNvPr id="972" name="Isosceles Triangle 971">
          <a:extLst>
            <a:ext uri="{FF2B5EF4-FFF2-40B4-BE49-F238E27FC236}">
              <a16:creationId xmlns:a16="http://schemas.microsoft.com/office/drawing/2014/main" id="{E24A9567-0FAC-49D7-B44D-AC647811A32C}"/>
            </a:ext>
          </a:extLst>
        </xdr:cNvPr>
        <xdr:cNvSpPr/>
      </xdr:nvSpPr>
      <xdr:spPr>
        <a:xfrm>
          <a:off x="2783573" y="24781056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35</xdr:col>
      <xdr:colOff>41413</xdr:colOff>
      <xdr:row>118</xdr:row>
      <xdr:rowOff>165653</xdr:rowOff>
    </xdr:from>
    <xdr:to>
      <xdr:col>37</xdr:col>
      <xdr:colOff>207066</xdr:colOff>
      <xdr:row>118</xdr:row>
      <xdr:rowOff>178353</xdr:rowOff>
    </xdr:to>
    <xdr:cxnSp macro="">
      <xdr:nvCxnSpPr>
        <xdr:cNvPr id="948" name="Curved Connector 522">
          <a:extLst>
            <a:ext uri="{FF2B5EF4-FFF2-40B4-BE49-F238E27FC236}">
              <a16:creationId xmlns:a16="http://schemas.microsoft.com/office/drawing/2014/main" id="{67B617AB-FAAB-44C3-B1DA-130CAB7FBA2A}"/>
            </a:ext>
          </a:extLst>
        </xdr:cNvPr>
        <xdr:cNvCxnSpPr/>
      </xdr:nvCxnSpPr>
      <xdr:spPr>
        <a:xfrm rot="5400000" flipH="1" flipV="1">
          <a:off x="10415933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248478</xdr:colOff>
      <xdr:row>118</xdr:row>
      <xdr:rowOff>165653</xdr:rowOff>
    </xdr:from>
    <xdr:to>
      <xdr:col>40</xdr:col>
      <xdr:colOff>248478</xdr:colOff>
      <xdr:row>118</xdr:row>
      <xdr:rowOff>178353</xdr:rowOff>
    </xdr:to>
    <xdr:cxnSp macro="">
      <xdr:nvCxnSpPr>
        <xdr:cNvPr id="956" name="Curved Connector 522">
          <a:extLst>
            <a:ext uri="{FF2B5EF4-FFF2-40B4-BE49-F238E27FC236}">
              <a16:creationId xmlns:a16="http://schemas.microsoft.com/office/drawing/2014/main" id="{D8D65A49-301D-4F78-815F-1FC8934B9261}"/>
            </a:ext>
          </a:extLst>
        </xdr:cNvPr>
        <xdr:cNvCxnSpPr/>
      </xdr:nvCxnSpPr>
      <xdr:spPr>
        <a:xfrm rot="5400000" flipH="1" flipV="1">
          <a:off x="11313215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27608</xdr:colOff>
      <xdr:row>127</xdr:row>
      <xdr:rowOff>179457</xdr:rowOff>
    </xdr:from>
    <xdr:to>
      <xdr:col>4</xdr:col>
      <xdr:colOff>202058</xdr:colOff>
      <xdr:row>128</xdr:row>
      <xdr:rowOff>3611</xdr:rowOff>
    </xdr:to>
    <xdr:cxnSp macro="">
      <xdr:nvCxnSpPr>
        <xdr:cNvPr id="960" name="Curved Connector 522">
          <a:extLst>
            <a:ext uri="{FF2B5EF4-FFF2-40B4-BE49-F238E27FC236}">
              <a16:creationId xmlns:a16="http://schemas.microsoft.com/office/drawing/2014/main" id="{D1EA82CF-A99F-42B7-868B-6D8A407C3DE9}"/>
            </a:ext>
          </a:extLst>
        </xdr:cNvPr>
        <xdr:cNvCxnSpPr/>
      </xdr:nvCxnSpPr>
      <xdr:spPr>
        <a:xfrm rot="5400000" flipH="1" flipV="1">
          <a:off x="886071" y="2437588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41414</xdr:colOff>
      <xdr:row>127</xdr:row>
      <xdr:rowOff>151848</xdr:rowOff>
    </xdr:from>
    <xdr:to>
      <xdr:col>10</xdr:col>
      <xdr:colOff>202059</xdr:colOff>
      <xdr:row>127</xdr:row>
      <xdr:rowOff>169263</xdr:rowOff>
    </xdr:to>
    <xdr:cxnSp macro="">
      <xdr:nvCxnSpPr>
        <xdr:cNvPr id="954" name="Curved Connector 522">
          <a:extLst>
            <a:ext uri="{FF2B5EF4-FFF2-40B4-BE49-F238E27FC236}">
              <a16:creationId xmlns:a16="http://schemas.microsoft.com/office/drawing/2014/main" id="{838CC7EB-05FF-406F-BF9D-EB02D8008A43}"/>
            </a:ext>
          </a:extLst>
        </xdr:cNvPr>
        <xdr:cNvCxnSpPr/>
      </xdr:nvCxnSpPr>
      <xdr:spPr>
        <a:xfrm rot="5400000" flipH="1" flipV="1">
          <a:off x="2584007" y="24348276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151848</xdr:colOff>
      <xdr:row>128</xdr:row>
      <xdr:rowOff>124239</xdr:rowOff>
    </xdr:from>
    <xdr:to>
      <xdr:col>8</xdr:col>
      <xdr:colOff>69848</xdr:colOff>
      <xdr:row>129</xdr:row>
      <xdr:rowOff>124238</xdr:rowOff>
    </xdr:to>
    <xdr:sp macro="" textlink="">
      <xdr:nvSpPr>
        <xdr:cNvPr id="955" name="5-Point Star 520">
          <a:extLst>
            <a:ext uri="{FF2B5EF4-FFF2-40B4-BE49-F238E27FC236}">
              <a16:creationId xmlns:a16="http://schemas.microsoft.com/office/drawing/2014/main" id="{DE3DF894-3C65-4075-9CC2-6E033A707874}"/>
            </a:ext>
          </a:extLst>
        </xdr:cNvPr>
        <xdr:cNvSpPr/>
      </xdr:nvSpPr>
      <xdr:spPr>
        <a:xfrm flipH="1">
          <a:off x="2043044" y="24903043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165652</xdr:colOff>
      <xdr:row>128</xdr:row>
      <xdr:rowOff>110435</xdr:rowOff>
    </xdr:from>
    <xdr:to>
      <xdr:col>11</xdr:col>
      <xdr:colOff>83651</xdr:colOff>
      <xdr:row>129</xdr:row>
      <xdr:rowOff>110434</xdr:rowOff>
    </xdr:to>
    <xdr:sp macro="" textlink="">
      <xdr:nvSpPr>
        <xdr:cNvPr id="961" name="5-Point Star 520">
          <a:extLst>
            <a:ext uri="{FF2B5EF4-FFF2-40B4-BE49-F238E27FC236}">
              <a16:creationId xmlns:a16="http://schemas.microsoft.com/office/drawing/2014/main" id="{957E89E9-5E0A-427A-B6F3-CDA9074ED0ED}"/>
            </a:ext>
          </a:extLst>
        </xdr:cNvPr>
        <xdr:cNvSpPr/>
      </xdr:nvSpPr>
      <xdr:spPr>
        <a:xfrm flipH="1">
          <a:off x="2954130" y="24889239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128</xdr:row>
      <xdr:rowOff>110435</xdr:rowOff>
    </xdr:from>
    <xdr:to>
      <xdr:col>2</xdr:col>
      <xdr:colOff>83651</xdr:colOff>
      <xdr:row>129</xdr:row>
      <xdr:rowOff>110434</xdr:rowOff>
    </xdr:to>
    <xdr:sp macro="" textlink="">
      <xdr:nvSpPr>
        <xdr:cNvPr id="962" name="5-Point Star 520">
          <a:extLst>
            <a:ext uri="{FF2B5EF4-FFF2-40B4-BE49-F238E27FC236}">
              <a16:creationId xmlns:a16="http://schemas.microsoft.com/office/drawing/2014/main" id="{841A8BE5-0413-42F6-9C8F-B0880F1B51FA}"/>
            </a:ext>
          </a:extLst>
        </xdr:cNvPr>
        <xdr:cNvSpPr/>
      </xdr:nvSpPr>
      <xdr:spPr>
        <a:xfrm flipH="1">
          <a:off x="372717" y="24889239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69020</xdr:colOff>
      <xdr:row>11</xdr:row>
      <xdr:rowOff>13803</xdr:rowOff>
    </xdr:from>
    <xdr:to>
      <xdr:col>31</xdr:col>
      <xdr:colOff>190620</xdr:colOff>
      <xdr:row>11</xdr:row>
      <xdr:rowOff>24387</xdr:rowOff>
    </xdr:to>
    <xdr:cxnSp macro="">
      <xdr:nvCxnSpPr>
        <xdr:cNvPr id="963" name="Curved Connector 523">
          <a:extLst>
            <a:ext uri="{FF2B5EF4-FFF2-40B4-BE49-F238E27FC236}">
              <a16:creationId xmlns:a16="http://schemas.microsoft.com/office/drawing/2014/main" id="{02F7949D-0791-4C9D-A2A2-8EE234F9B614}"/>
            </a:ext>
          </a:extLst>
        </xdr:cNvPr>
        <xdr:cNvCxnSpPr/>
      </xdr:nvCxnSpPr>
      <xdr:spPr>
        <a:xfrm rot="16200000" flipH="1">
          <a:off x="8662518" y="1828784"/>
          <a:ext cx="10584" cy="7151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11</xdr:row>
      <xdr:rowOff>1</xdr:rowOff>
    </xdr:from>
    <xdr:to>
      <xdr:col>28</xdr:col>
      <xdr:colOff>163013</xdr:colOff>
      <xdr:row>11</xdr:row>
      <xdr:rowOff>10585</xdr:rowOff>
    </xdr:to>
    <xdr:cxnSp macro="">
      <xdr:nvCxnSpPr>
        <xdr:cNvPr id="964" name="Curved Connector 523">
          <a:extLst>
            <a:ext uri="{FF2B5EF4-FFF2-40B4-BE49-F238E27FC236}">
              <a16:creationId xmlns:a16="http://schemas.microsoft.com/office/drawing/2014/main" id="{7676AC51-6D09-418E-B90E-87B4613CFAFD}"/>
            </a:ext>
          </a:extLst>
        </xdr:cNvPr>
        <xdr:cNvCxnSpPr/>
      </xdr:nvCxnSpPr>
      <xdr:spPr>
        <a:xfrm rot="16200000" flipH="1">
          <a:off x="7779041" y="1814982"/>
          <a:ext cx="10584" cy="715187"/>
        </a:xfrm>
        <a:prstGeom prst="curvedConnector3">
          <a:avLst>
            <a:gd name="adj1" fmla="val 173119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55217</xdr:colOff>
      <xdr:row>11</xdr:row>
      <xdr:rowOff>13805</xdr:rowOff>
    </xdr:from>
    <xdr:to>
      <xdr:col>34</xdr:col>
      <xdr:colOff>176817</xdr:colOff>
      <xdr:row>11</xdr:row>
      <xdr:rowOff>24389</xdr:rowOff>
    </xdr:to>
    <xdr:cxnSp macro="">
      <xdr:nvCxnSpPr>
        <xdr:cNvPr id="966" name="Curved Connector 523">
          <a:extLst>
            <a:ext uri="{FF2B5EF4-FFF2-40B4-BE49-F238E27FC236}">
              <a16:creationId xmlns:a16="http://schemas.microsoft.com/office/drawing/2014/main" id="{947E383D-1D3A-4911-A353-0F81DB028041}"/>
            </a:ext>
          </a:extLst>
        </xdr:cNvPr>
        <xdr:cNvCxnSpPr/>
      </xdr:nvCxnSpPr>
      <xdr:spPr>
        <a:xfrm rot="16200000" flipH="1">
          <a:off x="9504584" y="1828786"/>
          <a:ext cx="10584" cy="715187"/>
        </a:xfrm>
        <a:prstGeom prst="curvedConnector3">
          <a:avLst>
            <a:gd name="adj1" fmla="val 1861621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170325</xdr:colOff>
      <xdr:row>128</xdr:row>
      <xdr:rowOff>115320</xdr:rowOff>
    </xdr:from>
    <xdr:to>
      <xdr:col>5</xdr:col>
      <xdr:colOff>88324</xdr:colOff>
      <xdr:row>129</xdr:row>
      <xdr:rowOff>115319</xdr:rowOff>
    </xdr:to>
    <xdr:sp macro="" textlink="">
      <xdr:nvSpPr>
        <xdr:cNvPr id="968" name="5-Point Star 520">
          <a:extLst>
            <a:ext uri="{FF2B5EF4-FFF2-40B4-BE49-F238E27FC236}">
              <a16:creationId xmlns:a16="http://schemas.microsoft.com/office/drawing/2014/main" id="{A999C92E-25FD-426F-86FE-1A90D011D99E}"/>
            </a:ext>
          </a:extLst>
        </xdr:cNvPr>
        <xdr:cNvSpPr/>
      </xdr:nvSpPr>
      <xdr:spPr>
        <a:xfrm flipH="1">
          <a:off x="1260868" y="24894124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32212</xdr:colOff>
      <xdr:row>127</xdr:row>
      <xdr:rowOff>156449</xdr:rowOff>
    </xdr:from>
    <xdr:to>
      <xdr:col>13</xdr:col>
      <xdr:colOff>192858</xdr:colOff>
      <xdr:row>127</xdr:row>
      <xdr:rowOff>173864</xdr:rowOff>
    </xdr:to>
    <xdr:cxnSp macro="">
      <xdr:nvCxnSpPr>
        <xdr:cNvPr id="965" name="Curved Connector 522">
          <a:extLst>
            <a:ext uri="{FF2B5EF4-FFF2-40B4-BE49-F238E27FC236}">
              <a16:creationId xmlns:a16="http://schemas.microsoft.com/office/drawing/2014/main" id="{A5BA44EA-3E26-435D-B67A-BC4B6E14D3A9}"/>
            </a:ext>
          </a:extLst>
        </xdr:cNvPr>
        <xdr:cNvCxnSpPr/>
      </xdr:nvCxnSpPr>
      <xdr:spPr>
        <a:xfrm rot="5400000" flipH="1" flipV="1">
          <a:off x="3646943" y="23193313"/>
          <a:ext cx="17415" cy="823254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243742</xdr:colOff>
      <xdr:row>13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2</xdr:col>
      <xdr:colOff>256442</xdr:colOff>
      <xdr:row>20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5</xdr:col>
      <xdr:colOff>256442</xdr:colOff>
      <xdr:row>20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256442</xdr:colOff>
      <xdr:row>20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256442</xdr:colOff>
      <xdr:row>20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256442</xdr:colOff>
      <xdr:row>20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19</xdr:row>
      <xdr:rowOff>0</xdr:rowOff>
    </xdr:from>
    <xdr:to>
      <xdr:col>17</xdr:col>
      <xdr:colOff>256442</xdr:colOff>
      <xdr:row>20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21167</xdr:rowOff>
    </xdr:from>
    <xdr:to>
      <xdr:col>5</xdr:col>
      <xdr:colOff>256442</xdr:colOff>
      <xdr:row>43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21166</xdr:rowOff>
    </xdr:from>
    <xdr:to>
      <xdr:col>8</xdr:col>
      <xdr:colOff>256442</xdr:colOff>
      <xdr:row>43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41</xdr:row>
      <xdr:rowOff>31750</xdr:rowOff>
    </xdr:from>
    <xdr:to>
      <xdr:col>11</xdr:col>
      <xdr:colOff>256442</xdr:colOff>
      <xdr:row>43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41</xdr:row>
      <xdr:rowOff>137583</xdr:rowOff>
    </xdr:from>
    <xdr:to>
      <xdr:col>5</xdr:col>
      <xdr:colOff>105834</xdr:colOff>
      <xdr:row>42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41</xdr:row>
      <xdr:rowOff>10583</xdr:rowOff>
    </xdr:from>
    <xdr:to>
      <xdr:col>7</xdr:col>
      <xdr:colOff>254000</xdr:colOff>
      <xdr:row>41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38</xdr:row>
      <xdr:rowOff>178593</xdr:rowOff>
    </xdr:from>
    <xdr:to>
      <xdr:col>4</xdr:col>
      <xdr:colOff>247997</xdr:colOff>
      <xdr:row>41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39</xdr:row>
      <xdr:rowOff>-1</xdr:rowOff>
    </xdr:from>
    <xdr:to>
      <xdr:col>6</xdr:col>
      <xdr:colOff>60854</xdr:colOff>
      <xdr:row>41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39</xdr:row>
      <xdr:rowOff>-1</xdr:rowOff>
    </xdr:from>
    <xdr:to>
      <xdr:col>9</xdr:col>
      <xdr:colOff>35718</xdr:colOff>
      <xdr:row>41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41</xdr:row>
      <xdr:rowOff>10584</xdr:rowOff>
    </xdr:from>
    <xdr:to>
      <xdr:col>4</xdr:col>
      <xdr:colOff>105833</xdr:colOff>
      <xdr:row>42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44</xdr:row>
      <xdr:rowOff>116417</xdr:rowOff>
    </xdr:from>
    <xdr:to>
      <xdr:col>4</xdr:col>
      <xdr:colOff>0</xdr:colOff>
      <xdr:row>44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44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45</xdr:row>
      <xdr:rowOff>127001</xdr:rowOff>
    </xdr:from>
    <xdr:to>
      <xdr:col>6</xdr:col>
      <xdr:colOff>51593</xdr:colOff>
      <xdr:row>47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46</xdr:row>
      <xdr:rowOff>71437</xdr:rowOff>
    </xdr:from>
    <xdr:to>
      <xdr:col>10</xdr:col>
      <xdr:colOff>35719</xdr:colOff>
      <xdr:row>46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41</xdr:row>
      <xdr:rowOff>0</xdr:rowOff>
    </xdr:from>
    <xdr:to>
      <xdr:col>11</xdr:col>
      <xdr:colOff>0</xdr:colOff>
      <xdr:row>41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46</xdr:row>
      <xdr:rowOff>88460</xdr:rowOff>
    </xdr:from>
    <xdr:to>
      <xdr:col>15</xdr:col>
      <xdr:colOff>401817</xdr:colOff>
      <xdr:row>47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44</xdr:row>
      <xdr:rowOff>96357</xdr:rowOff>
    </xdr:from>
    <xdr:to>
      <xdr:col>16</xdr:col>
      <xdr:colOff>10464</xdr:colOff>
      <xdr:row>45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40</xdr:row>
      <xdr:rowOff>23811</xdr:rowOff>
    </xdr:from>
    <xdr:to>
      <xdr:col>15</xdr:col>
      <xdr:colOff>273845</xdr:colOff>
      <xdr:row>41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38</xdr:row>
      <xdr:rowOff>11906</xdr:rowOff>
    </xdr:from>
    <xdr:to>
      <xdr:col>15</xdr:col>
      <xdr:colOff>261938</xdr:colOff>
      <xdr:row>39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42</xdr:row>
      <xdr:rowOff>-1</xdr:rowOff>
    </xdr:from>
    <xdr:to>
      <xdr:col>15</xdr:col>
      <xdr:colOff>273844</xdr:colOff>
      <xdr:row>43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42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38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45</xdr:row>
      <xdr:rowOff>190499</xdr:rowOff>
    </xdr:from>
    <xdr:to>
      <xdr:col>20</xdr:col>
      <xdr:colOff>130967</xdr:colOff>
      <xdr:row>47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87313</xdr:colOff>
      <xdr:row>12</xdr:row>
      <xdr:rowOff>138906</xdr:rowOff>
    </xdr:from>
    <xdr:to>
      <xdr:col>18</xdr:col>
      <xdr:colOff>325438</xdr:colOff>
      <xdr:row>14</xdr:row>
      <xdr:rowOff>119062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5667376" y="2234406"/>
          <a:ext cx="238125" cy="3452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152882</xdr:colOff>
      <xdr:row>12</xdr:row>
      <xdr:rowOff>140114</xdr:rowOff>
    </xdr:from>
    <xdr:to>
      <xdr:col>30</xdr:col>
      <xdr:colOff>307663</xdr:colOff>
      <xdr:row>14</xdr:row>
      <xdr:rowOff>119603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9669945" y="2235614"/>
          <a:ext cx="154781" cy="3446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124561</xdr:colOff>
      <xdr:row>12</xdr:row>
      <xdr:rowOff>132547</xdr:rowOff>
    </xdr:from>
    <xdr:to>
      <xdr:col>28</xdr:col>
      <xdr:colOff>43438</xdr:colOff>
      <xdr:row>14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682980" y="2202441"/>
          <a:ext cx="296290" cy="34750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170657</xdr:colOff>
      <xdr:row>12</xdr:row>
      <xdr:rowOff>158749</xdr:rowOff>
    </xdr:from>
    <xdr:to>
      <xdr:col>42</xdr:col>
      <xdr:colOff>325439</xdr:colOff>
      <xdr:row>14</xdr:row>
      <xdr:rowOff>152906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13592970" y="2254249"/>
          <a:ext cx="154782" cy="3592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43657</xdr:colOff>
      <xdr:row>20</xdr:row>
      <xdr:rowOff>162719</xdr:rowOff>
    </xdr:from>
    <xdr:to>
      <xdr:col>3</xdr:col>
      <xdr:colOff>198438</xdr:colOff>
      <xdr:row>22</xdr:row>
      <xdr:rowOff>129096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702470" y="3536157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20</xdr:row>
      <xdr:rowOff>158750</xdr:rowOff>
    </xdr:from>
    <xdr:to>
      <xdr:col>3</xdr:col>
      <xdr:colOff>369094</xdr:colOff>
      <xdr:row>22</xdr:row>
      <xdr:rowOff>137031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873126" y="3532188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87313</xdr:colOff>
      <xdr:row>20</xdr:row>
      <xdr:rowOff>166688</xdr:rowOff>
    </xdr:from>
    <xdr:to>
      <xdr:col>6</xdr:col>
      <xdr:colOff>242094</xdr:colOff>
      <xdr:row>22</xdr:row>
      <xdr:rowOff>144969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1730376" y="3540126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99219</xdr:colOff>
      <xdr:row>20</xdr:row>
      <xdr:rowOff>150812</xdr:rowOff>
    </xdr:from>
    <xdr:to>
      <xdr:col>9</xdr:col>
      <xdr:colOff>254000</xdr:colOff>
      <xdr:row>22</xdr:row>
      <xdr:rowOff>129093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2726532" y="3524250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47057</xdr:colOff>
      <xdr:row>20</xdr:row>
      <xdr:rowOff>136637</xdr:rowOff>
    </xdr:from>
    <xdr:to>
      <xdr:col>15</xdr:col>
      <xdr:colOff>201838</xdr:colOff>
      <xdr:row>22</xdr:row>
      <xdr:rowOff>101879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642870" y="3510075"/>
          <a:ext cx="154781" cy="33036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230187</xdr:colOff>
      <xdr:row>20</xdr:row>
      <xdr:rowOff>124732</xdr:rowOff>
    </xdr:from>
    <xdr:to>
      <xdr:col>15</xdr:col>
      <xdr:colOff>384968</xdr:colOff>
      <xdr:row>22</xdr:row>
      <xdr:rowOff>101878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26000" y="3498170"/>
          <a:ext cx="154781" cy="34227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107158</xdr:colOff>
      <xdr:row>20</xdr:row>
      <xdr:rowOff>136317</xdr:rowOff>
    </xdr:from>
    <xdr:to>
      <xdr:col>24</xdr:col>
      <xdr:colOff>261939</xdr:colOff>
      <xdr:row>22</xdr:row>
      <xdr:rowOff>114599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7655721" y="3509755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77871</xdr:colOff>
      <xdr:row>19</xdr:row>
      <xdr:rowOff>177445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657934" y="3368320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55562</xdr:colOff>
      <xdr:row>20</xdr:row>
      <xdr:rowOff>150813</xdr:rowOff>
    </xdr:from>
    <xdr:to>
      <xdr:col>27</xdr:col>
      <xdr:colOff>210343</xdr:colOff>
      <xdr:row>22</xdr:row>
      <xdr:rowOff>129094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8588375" y="352425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242093</xdr:colOff>
      <xdr:row>20</xdr:row>
      <xdr:rowOff>162718</xdr:rowOff>
    </xdr:from>
    <xdr:to>
      <xdr:col>27</xdr:col>
      <xdr:colOff>396874</xdr:colOff>
      <xdr:row>22</xdr:row>
      <xdr:rowOff>129095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8774906" y="3536156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142874</xdr:colOff>
      <xdr:row>20</xdr:row>
      <xdr:rowOff>142874</xdr:rowOff>
    </xdr:from>
    <xdr:to>
      <xdr:col>30</xdr:col>
      <xdr:colOff>297655</xdr:colOff>
      <xdr:row>22</xdr:row>
      <xdr:rowOff>121155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9659937" y="3516312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146844</xdr:colOff>
      <xdr:row>20</xdr:row>
      <xdr:rowOff>102053</xdr:rowOff>
    </xdr:from>
    <xdr:to>
      <xdr:col>36</xdr:col>
      <xdr:colOff>301625</xdr:colOff>
      <xdr:row>22</xdr:row>
      <xdr:rowOff>80334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640344" y="347549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54995</xdr:colOff>
      <xdr:row>20</xdr:row>
      <xdr:rowOff>146521</xdr:rowOff>
    </xdr:from>
    <xdr:to>
      <xdr:col>39</xdr:col>
      <xdr:colOff>209776</xdr:colOff>
      <xdr:row>22</xdr:row>
      <xdr:rowOff>124803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532745" y="3519959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14324</xdr:colOff>
      <xdr:row>20</xdr:row>
      <xdr:rowOff>92983</xdr:rowOff>
    </xdr:from>
    <xdr:to>
      <xdr:col>33</xdr:col>
      <xdr:colOff>387561</xdr:colOff>
      <xdr:row>22</xdr:row>
      <xdr:rowOff>20180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564032" y="3425963"/>
          <a:ext cx="292322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208396</xdr:colOff>
      <xdr:row>19</xdr:row>
      <xdr:rowOff>92761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686146" y="3283636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134939</xdr:colOff>
      <xdr:row>28</xdr:row>
      <xdr:rowOff>174626</xdr:rowOff>
    </xdr:from>
    <xdr:to>
      <xdr:col>6</xdr:col>
      <xdr:colOff>289720</xdr:colOff>
      <xdr:row>30</xdr:row>
      <xdr:rowOff>144969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1778002" y="482600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19</xdr:row>
      <xdr:rowOff>11759</xdr:rowOff>
    </xdr:from>
    <xdr:to>
      <xdr:col>17</xdr:col>
      <xdr:colOff>256442</xdr:colOff>
      <xdr:row>21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20</xdr:col>
      <xdr:colOff>256442</xdr:colOff>
      <xdr:row>20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23812</xdr:colOff>
      <xdr:row>19</xdr:row>
      <xdr:rowOff>15874</xdr:rowOff>
    </xdr:from>
    <xdr:to>
      <xdr:col>23</xdr:col>
      <xdr:colOff>256442</xdr:colOff>
      <xdr:row>20</xdr:row>
      <xdr:rowOff>171413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7016750" y="3405187"/>
          <a:ext cx="510442" cy="33810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130968</xdr:colOff>
      <xdr:row>28</xdr:row>
      <xdr:rowOff>181872</xdr:rowOff>
    </xdr:from>
    <xdr:to>
      <xdr:col>9</xdr:col>
      <xdr:colOff>285749</xdr:colOff>
      <xdr:row>30</xdr:row>
      <xdr:rowOff>152215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2758281" y="4833247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1724</xdr:colOff>
      <xdr:row>29</xdr:row>
      <xdr:rowOff>71092</xdr:rowOff>
    </xdr:from>
    <xdr:to>
      <xdr:col>15</xdr:col>
      <xdr:colOff>364828</xdr:colOff>
      <xdr:row>30</xdr:row>
      <xdr:rowOff>48950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4698878" y="4811626"/>
          <a:ext cx="160421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11</xdr:row>
      <xdr:rowOff>127000</xdr:rowOff>
    </xdr:from>
    <xdr:to>
      <xdr:col>38</xdr:col>
      <xdr:colOff>116724</xdr:colOff>
      <xdr:row>12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19</xdr:row>
      <xdr:rowOff>106219</xdr:rowOff>
    </xdr:from>
    <xdr:to>
      <xdr:col>2</xdr:col>
      <xdr:colOff>95942</xdr:colOff>
      <xdr:row>20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19</xdr:row>
      <xdr:rowOff>120072</xdr:rowOff>
    </xdr:from>
    <xdr:to>
      <xdr:col>5</xdr:col>
      <xdr:colOff>98252</xdr:colOff>
      <xdr:row>20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19</xdr:row>
      <xdr:rowOff>87745</xdr:rowOff>
    </xdr:from>
    <xdr:to>
      <xdr:col>8</xdr:col>
      <xdr:colOff>77469</xdr:colOff>
      <xdr:row>20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11</xdr:row>
      <xdr:rowOff>124691</xdr:rowOff>
    </xdr:from>
    <xdr:to>
      <xdr:col>29</xdr:col>
      <xdr:colOff>125960</xdr:colOff>
      <xdr:row>12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19</xdr:row>
      <xdr:rowOff>138545</xdr:rowOff>
    </xdr:from>
    <xdr:to>
      <xdr:col>11</xdr:col>
      <xdr:colOff>82088</xdr:colOff>
      <xdr:row>20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11</xdr:row>
      <xdr:rowOff>157018</xdr:rowOff>
    </xdr:from>
    <xdr:to>
      <xdr:col>23</xdr:col>
      <xdr:colOff>112105</xdr:colOff>
      <xdr:row>12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83054</xdr:colOff>
      <xdr:row>19</xdr:row>
      <xdr:rowOff>2420</xdr:rowOff>
    </xdr:from>
    <xdr:to>
      <xdr:col>16</xdr:col>
      <xdr:colOff>253027</xdr:colOff>
      <xdr:row>19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19</xdr:row>
      <xdr:rowOff>2420</xdr:rowOff>
    </xdr:from>
    <xdr:to>
      <xdr:col>13</xdr:col>
      <xdr:colOff>202631</xdr:colOff>
      <xdr:row>19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11</xdr:row>
      <xdr:rowOff>22577</xdr:rowOff>
    </xdr:from>
    <xdr:to>
      <xdr:col>43</xdr:col>
      <xdr:colOff>192551</xdr:colOff>
      <xdr:row>11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19</xdr:row>
      <xdr:rowOff>23788</xdr:rowOff>
    </xdr:from>
    <xdr:to>
      <xdr:col>10</xdr:col>
      <xdr:colOff>213919</xdr:colOff>
      <xdr:row>19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19</xdr:row>
      <xdr:rowOff>167217</xdr:rowOff>
    </xdr:from>
    <xdr:to>
      <xdr:col>17</xdr:col>
      <xdr:colOff>105765</xdr:colOff>
      <xdr:row>20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19</xdr:row>
      <xdr:rowOff>128109</xdr:rowOff>
    </xdr:from>
    <xdr:to>
      <xdr:col>14</xdr:col>
      <xdr:colOff>117054</xdr:colOff>
      <xdr:row>20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11</xdr:row>
      <xdr:rowOff>10079</xdr:rowOff>
    </xdr:from>
    <xdr:to>
      <xdr:col>31</xdr:col>
      <xdr:colOff>200211</xdr:colOff>
      <xdr:row>11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10</xdr:row>
      <xdr:rowOff>171350</xdr:rowOff>
    </xdr:from>
    <xdr:to>
      <xdr:col>25</xdr:col>
      <xdr:colOff>230449</xdr:colOff>
      <xdr:row>11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11</xdr:row>
      <xdr:rowOff>11289</xdr:rowOff>
    </xdr:from>
    <xdr:to>
      <xdr:col>28</xdr:col>
      <xdr:colOff>251817</xdr:colOff>
      <xdr:row>11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11</xdr:row>
      <xdr:rowOff>11288</xdr:rowOff>
    </xdr:from>
    <xdr:to>
      <xdr:col>34</xdr:col>
      <xdr:colOff>211500</xdr:colOff>
      <xdr:row>11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11</xdr:row>
      <xdr:rowOff>32657</xdr:rowOff>
    </xdr:from>
    <xdr:to>
      <xdr:col>37</xdr:col>
      <xdr:colOff>202630</xdr:colOff>
      <xdr:row>11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166255</xdr:colOff>
      <xdr:row>11</xdr:row>
      <xdr:rowOff>129785</xdr:rowOff>
    </xdr:from>
    <xdr:to>
      <xdr:col>35</xdr:col>
      <xdr:colOff>98252</xdr:colOff>
      <xdr:row>12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11</xdr:row>
      <xdr:rowOff>110836</xdr:rowOff>
    </xdr:from>
    <xdr:to>
      <xdr:col>32</xdr:col>
      <xdr:colOff>99460</xdr:colOff>
      <xdr:row>12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11</xdr:row>
      <xdr:rowOff>122125</xdr:rowOff>
    </xdr:from>
    <xdr:to>
      <xdr:col>41</xdr:col>
      <xdr:colOff>70432</xdr:colOff>
      <xdr:row>12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19</xdr:row>
      <xdr:rowOff>123334</xdr:rowOff>
    </xdr:from>
    <xdr:to>
      <xdr:col>23</xdr:col>
      <xdr:colOff>111958</xdr:colOff>
      <xdr:row>20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19</xdr:row>
      <xdr:rowOff>154781</xdr:rowOff>
    </xdr:from>
    <xdr:to>
      <xdr:col>20</xdr:col>
      <xdr:colOff>113167</xdr:colOff>
      <xdr:row>20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158007</xdr:colOff>
      <xdr:row>11</xdr:row>
      <xdr:rowOff>112559</xdr:rowOff>
    </xdr:from>
    <xdr:to>
      <xdr:col>26</xdr:col>
      <xdr:colOff>90004</xdr:colOff>
      <xdr:row>12</xdr:row>
      <xdr:rowOff>113446</xdr:rowOff>
    </xdr:to>
    <xdr:sp macro="" textlink="">
      <xdr:nvSpPr>
        <xdr:cNvPr id="142" name="5-Point Star 520">
          <a:extLst>
            <a:ext uri="{FF2B5EF4-FFF2-40B4-BE49-F238E27FC236}">
              <a16:creationId xmlns:a16="http://schemas.microsoft.com/office/drawing/2014/main" id="{A2E20841-D78A-4D4B-911F-711184C9A438}"/>
            </a:ext>
          </a:extLst>
        </xdr:cNvPr>
        <xdr:cNvSpPr/>
      </xdr:nvSpPr>
      <xdr:spPr>
        <a:xfrm flipH="1">
          <a:off x="8241658" y="201755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419100</xdr:colOff>
      <xdr:row>19</xdr:row>
      <xdr:rowOff>11113</xdr:rowOff>
    </xdr:from>
    <xdr:to>
      <xdr:col>26</xdr:col>
      <xdr:colOff>246917</xdr:colOff>
      <xdr:row>21</xdr:row>
      <xdr:rowOff>11724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1B3BA9BA-0C82-4FA6-AD49-B2BC9B45E1D9}"/>
            </a:ext>
          </a:extLst>
        </xdr:cNvPr>
        <xdr:cNvSpPr/>
      </xdr:nvSpPr>
      <xdr:spPr>
        <a:xfrm>
          <a:off x="7967663" y="3201988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15875</xdr:colOff>
      <xdr:row>18</xdr:row>
      <xdr:rowOff>166687</xdr:rowOff>
    </xdr:from>
    <xdr:to>
      <xdr:col>35</xdr:col>
      <xdr:colOff>272316</xdr:colOff>
      <xdr:row>20</xdr:row>
      <xdr:rowOff>179997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621F347D-AB5C-4142-89F3-D6B6FDE8A741}"/>
            </a:ext>
          </a:extLst>
        </xdr:cNvPr>
        <xdr:cNvSpPr/>
      </xdr:nvSpPr>
      <xdr:spPr>
        <a:xfrm>
          <a:off x="10953750" y="3373437"/>
          <a:ext cx="534254" cy="37843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9524</xdr:colOff>
      <xdr:row>27</xdr:row>
      <xdr:rowOff>6349</xdr:rowOff>
    </xdr:from>
    <xdr:to>
      <xdr:col>20</xdr:col>
      <xdr:colOff>265966</xdr:colOff>
      <xdr:row>28</xdr:row>
      <xdr:rowOff>189523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5720167E-4109-4F40-B2C7-B5C506E1B9DC}"/>
            </a:ext>
          </a:extLst>
        </xdr:cNvPr>
        <xdr:cNvSpPr/>
      </xdr:nvSpPr>
      <xdr:spPr>
        <a:xfrm>
          <a:off x="6018212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3174</xdr:colOff>
      <xdr:row>27</xdr:row>
      <xdr:rowOff>7937</xdr:rowOff>
    </xdr:from>
    <xdr:to>
      <xdr:col>2</xdr:col>
      <xdr:colOff>259616</xdr:colOff>
      <xdr:row>29</xdr:row>
      <xdr:rowOff>611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C58EF973-D717-477B-9D6B-12F21920C52A}"/>
            </a:ext>
          </a:extLst>
        </xdr:cNvPr>
        <xdr:cNvSpPr/>
      </xdr:nvSpPr>
      <xdr:spPr>
        <a:xfrm>
          <a:off x="106362" y="447675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</xdr:col>
      <xdr:colOff>425449</xdr:colOff>
      <xdr:row>27</xdr:row>
      <xdr:rowOff>1587</xdr:rowOff>
    </xdr:from>
    <xdr:to>
      <xdr:col>8</xdr:col>
      <xdr:colOff>253266</xdr:colOff>
      <xdr:row>28</xdr:row>
      <xdr:rowOff>184761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32569EE0-9ACB-49D9-B155-7A3DF1AE0483}"/>
            </a:ext>
          </a:extLst>
        </xdr:cNvPr>
        <xdr:cNvSpPr/>
      </xdr:nvSpPr>
      <xdr:spPr>
        <a:xfrm>
          <a:off x="2068512" y="447040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14287</xdr:colOff>
      <xdr:row>27</xdr:row>
      <xdr:rowOff>3174</xdr:rowOff>
    </xdr:from>
    <xdr:to>
      <xdr:col>5</xdr:col>
      <xdr:colOff>270729</xdr:colOff>
      <xdr:row>28</xdr:row>
      <xdr:rowOff>186348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F54028B-699D-4D0E-AA15-61133BED8A4F}"/>
            </a:ext>
          </a:extLst>
        </xdr:cNvPr>
        <xdr:cNvSpPr/>
      </xdr:nvSpPr>
      <xdr:spPr>
        <a:xfrm>
          <a:off x="1101725" y="447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21</xdr:col>
      <xdr:colOff>420686</xdr:colOff>
      <xdr:row>27</xdr:row>
      <xdr:rowOff>36512</xdr:rowOff>
    </xdr:from>
    <xdr:to>
      <xdr:col>24</xdr:col>
      <xdr:colOff>39687</xdr:colOff>
      <xdr:row>29</xdr:row>
      <xdr:rowOff>7938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4E98DEF5-4A66-4A25-86AE-CB6013A406E8}"/>
            </a:ext>
          </a:extLst>
        </xdr:cNvPr>
        <xdr:cNvSpPr/>
      </xdr:nvSpPr>
      <xdr:spPr>
        <a:xfrm>
          <a:off x="6984999" y="4505325"/>
          <a:ext cx="603251" cy="3444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1587</xdr:colOff>
      <xdr:row>26</xdr:row>
      <xdr:rowOff>180974</xdr:rowOff>
    </xdr:from>
    <xdr:to>
      <xdr:col>17</xdr:col>
      <xdr:colOff>258029</xdr:colOff>
      <xdr:row>28</xdr:row>
      <xdr:rowOff>173648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8B729150-77AA-4FF5-9CFD-A1D1B8F5687F}"/>
            </a:ext>
          </a:extLst>
        </xdr:cNvPr>
        <xdr:cNvSpPr/>
      </xdr:nvSpPr>
      <xdr:spPr>
        <a:xfrm>
          <a:off x="5026025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19049</xdr:colOff>
      <xdr:row>27</xdr:row>
      <xdr:rowOff>15875</xdr:rowOff>
    </xdr:from>
    <xdr:to>
      <xdr:col>14</xdr:col>
      <xdr:colOff>275491</xdr:colOff>
      <xdr:row>29</xdr:row>
      <xdr:rowOff>8548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141F2FF2-E8F0-43D2-B60E-E9136DF8CE7C}"/>
            </a:ext>
          </a:extLst>
        </xdr:cNvPr>
        <xdr:cNvSpPr/>
      </xdr:nvSpPr>
      <xdr:spPr>
        <a:xfrm>
          <a:off x="4059237" y="449262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4762</xdr:colOff>
      <xdr:row>27</xdr:row>
      <xdr:rowOff>9525</xdr:rowOff>
    </xdr:from>
    <xdr:to>
      <xdr:col>11</xdr:col>
      <xdr:colOff>261204</xdr:colOff>
      <xdr:row>29</xdr:row>
      <xdr:rowOff>2198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10EE6548-0F87-4B53-9EF1-1B8C251EA006}"/>
            </a:ext>
          </a:extLst>
        </xdr:cNvPr>
        <xdr:cNvSpPr/>
      </xdr:nvSpPr>
      <xdr:spPr>
        <a:xfrm>
          <a:off x="3060700" y="44862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14288</xdr:colOff>
      <xdr:row>19</xdr:row>
      <xdr:rowOff>11112</xdr:rowOff>
    </xdr:from>
    <xdr:to>
      <xdr:col>32</xdr:col>
      <xdr:colOff>270729</xdr:colOff>
      <xdr:row>21</xdr:row>
      <xdr:rowOff>11723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27F73419-AA93-4DBE-B01F-34F68D5D1103}"/>
            </a:ext>
          </a:extLst>
        </xdr:cNvPr>
        <xdr:cNvSpPr/>
      </xdr:nvSpPr>
      <xdr:spPr>
        <a:xfrm>
          <a:off x="9967913" y="320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7937</xdr:colOff>
      <xdr:row>19</xdr:row>
      <xdr:rowOff>4762</xdr:rowOff>
    </xdr:from>
    <xdr:to>
      <xdr:col>29</xdr:col>
      <xdr:colOff>264379</xdr:colOff>
      <xdr:row>21</xdr:row>
      <xdr:rowOff>5373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622939AA-9F2C-4DCF-91A9-1320AAD3AC42}"/>
            </a:ext>
          </a:extLst>
        </xdr:cNvPr>
        <xdr:cNvSpPr/>
      </xdr:nvSpPr>
      <xdr:spPr>
        <a:xfrm>
          <a:off x="8969375" y="319563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373063</xdr:colOff>
      <xdr:row>19</xdr:row>
      <xdr:rowOff>15875</xdr:rowOff>
    </xdr:from>
    <xdr:to>
      <xdr:col>42</xdr:col>
      <xdr:colOff>4029</xdr:colOff>
      <xdr:row>20</xdr:row>
      <xdr:rowOff>181585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4DEB916E-9D94-4E7B-9777-C891BE90E7C0}"/>
            </a:ext>
          </a:extLst>
        </xdr:cNvPr>
        <xdr:cNvSpPr/>
      </xdr:nvSpPr>
      <xdr:spPr>
        <a:xfrm>
          <a:off x="12850813" y="3405188"/>
          <a:ext cx="575529" cy="34827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423863</xdr:colOff>
      <xdr:row>19</xdr:row>
      <xdr:rowOff>0</xdr:rowOff>
    </xdr:from>
    <xdr:to>
      <xdr:col>38</xdr:col>
      <xdr:colOff>251679</xdr:colOff>
      <xdr:row>21</xdr:row>
      <xdr:rowOff>611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F7E27DFB-0151-480B-B52B-BF1A89C984FB}"/>
            </a:ext>
          </a:extLst>
        </xdr:cNvPr>
        <xdr:cNvSpPr/>
      </xdr:nvSpPr>
      <xdr:spPr>
        <a:xfrm>
          <a:off x="11917363" y="31908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156930</xdr:colOff>
      <xdr:row>19</xdr:row>
      <xdr:rowOff>134446</xdr:rowOff>
    </xdr:from>
    <xdr:to>
      <xdr:col>41</xdr:col>
      <xdr:colOff>88926</xdr:colOff>
      <xdr:row>20</xdr:row>
      <xdr:rowOff>135333</xdr:rowOff>
    </xdr:to>
    <xdr:sp macro="" textlink="">
      <xdr:nvSpPr>
        <xdr:cNvPr id="159" name="5-Point Star 520">
          <a:extLst>
            <a:ext uri="{FF2B5EF4-FFF2-40B4-BE49-F238E27FC236}">
              <a16:creationId xmlns:a16="http://schemas.microsoft.com/office/drawing/2014/main" id="{AC2FD356-93D6-445E-AC8A-AFF3EA733B10}"/>
            </a:ext>
          </a:extLst>
        </xdr:cNvPr>
        <xdr:cNvSpPr/>
      </xdr:nvSpPr>
      <xdr:spPr>
        <a:xfrm flipH="1">
          <a:off x="13063305" y="332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142643</xdr:colOff>
      <xdr:row>19</xdr:row>
      <xdr:rowOff>128096</xdr:rowOff>
    </xdr:from>
    <xdr:to>
      <xdr:col>38</xdr:col>
      <xdr:colOff>74639</xdr:colOff>
      <xdr:row>20</xdr:row>
      <xdr:rowOff>128983</xdr:rowOff>
    </xdr:to>
    <xdr:sp macro="" textlink="">
      <xdr:nvSpPr>
        <xdr:cNvPr id="160" name="5-Point Star 520">
          <a:extLst>
            <a:ext uri="{FF2B5EF4-FFF2-40B4-BE49-F238E27FC236}">
              <a16:creationId xmlns:a16="http://schemas.microsoft.com/office/drawing/2014/main" id="{BB96DD90-1605-487D-B60E-1607D3A194FE}"/>
            </a:ext>
          </a:extLst>
        </xdr:cNvPr>
        <xdr:cNvSpPr/>
      </xdr:nvSpPr>
      <xdr:spPr>
        <a:xfrm flipH="1">
          <a:off x="12064768" y="33189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168042</xdr:colOff>
      <xdr:row>19</xdr:row>
      <xdr:rowOff>145559</xdr:rowOff>
    </xdr:from>
    <xdr:to>
      <xdr:col>35</xdr:col>
      <xdr:colOff>100038</xdr:colOff>
      <xdr:row>20</xdr:row>
      <xdr:rowOff>146446</xdr:rowOff>
    </xdr:to>
    <xdr:sp macro="" textlink="">
      <xdr:nvSpPr>
        <xdr:cNvPr id="161" name="5-Point Star 520">
          <a:extLst>
            <a:ext uri="{FF2B5EF4-FFF2-40B4-BE49-F238E27FC236}">
              <a16:creationId xmlns:a16="http://schemas.microsoft.com/office/drawing/2014/main" id="{91611D3E-B413-4E47-BCE5-F4857184D1BD}"/>
            </a:ext>
          </a:extLst>
        </xdr:cNvPr>
        <xdr:cNvSpPr/>
      </xdr:nvSpPr>
      <xdr:spPr>
        <a:xfrm flipH="1">
          <a:off x="11105917" y="333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161692</xdr:colOff>
      <xdr:row>19</xdr:row>
      <xdr:rowOff>123334</xdr:rowOff>
    </xdr:from>
    <xdr:to>
      <xdr:col>32</xdr:col>
      <xdr:colOff>93688</xdr:colOff>
      <xdr:row>20</xdr:row>
      <xdr:rowOff>124221</xdr:rowOff>
    </xdr:to>
    <xdr:sp macro="" textlink="">
      <xdr:nvSpPr>
        <xdr:cNvPr id="162" name="5-Point Star 520">
          <a:extLst>
            <a:ext uri="{FF2B5EF4-FFF2-40B4-BE49-F238E27FC236}">
              <a16:creationId xmlns:a16="http://schemas.microsoft.com/office/drawing/2014/main" id="{FA02EB43-D7AB-4E66-94F6-752362A07498}"/>
            </a:ext>
          </a:extLst>
        </xdr:cNvPr>
        <xdr:cNvSpPr/>
      </xdr:nvSpPr>
      <xdr:spPr>
        <a:xfrm flipH="1">
          <a:off x="10115317" y="331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195029</xdr:colOff>
      <xdr:row>19</xdr:row>
      <xdr:rowOff>140796</xdr:rowOff>
    </xdr:from>
    <xdr:to>
      <xdr:col>29</xdr:col>
      <xdr:colOff>127026</xdr:colOff>
      <xdr:row>20</xdr:row>
      <xdr:rowOff>141683</xdr:rowOff>
    </xdr:to>
    <xdr:sp macro="" textlink="">
      <xdr:nvSpPr>
        <xdr:cNvPr id="163" name="5-Point Star 520">
          <a:extLst>
            <a:ext uri="{FF2B5EF4-FFF2-40B4-BE49-F238E27FC236}">
              <a16:creationId xmlns:a16="http://schemas.microsoft.com/office/drawing/2014/main" id="{FCAA2E9F-D9DF-49F0-B3A2-C5FB32508E2B}"/>
            </a:ext>
          </a:extLst>
        </xdr:cNvPr>
        <xdr:cNvSpPr/>
      </xdr:nvSpPr>
      <xdr:spPr>
        <a:xfrm flipH="1">
          <a:off x="9156467" y="333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148992</xdr:colOff>
      <xdr:row>19</xdr:row>
      <xdr:rowOff>150322</xdr:rowOff>
    </xdr:from>
    <xdr:to>
      <xdr:col>26</xdr:col>
      <xdr:colOff>80989</xdr:colOff>
      <xdr:row>20</xdr:row>
      <xdr:rowOff>151209</xdr:rowOff>
    </xdr:to>
    <xdr:sp macro="" textlink="">
      <xdr:nvSpPr>
        <xdr:cNvPr id="164" name="5-Point Star 520">
          <a:extLst>
            <a:ext uri="{FF2B5EF4-FFF2-40B4-BE49-F238E27FC236}">
              <a16:creationId xmlns:a16="http://schemas.microsoft.com/office/drawing/2014/main" id="{19CB7093-C61D-46F8-A360-23CEA6B8746F}"/>
            </a:ext>
          </a:extLst>
        </xdr:cNvPr>
        <xdr:cNvSpPr/>
      </xdr:nvSpPr>
      <xdr:spPr>
        <a:xfrm flipH="1">
          <a:off x="8126180" y="334119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158517</xdr:colOff>
      <xdr:row>27</xdr:row>
      <xdr:rowOff>128096</xdr:rowOff>
    </xdr:from>
    <xdr:to>
      <xdr:col>17</xdr:col>
      <xdr:colOff>90514</xdr:colOff>
      <xdr:row>28</xdr:row>
      <xdr:rowOff>128984</xdr:rowOff>
    </xdr:to>
    <xdr:sp macro="" textlink="">
      <xdr:nvSpPr>
        <xdr:cNvPr id="165" name="5-Point Star 520">
          <a:extLst>
            <a:ext uri="{FF2B5EF4-FFF2-40B4-BE49-F238E27FC236}">
              <a16:creationId xmlns:a16="http://schemas.microsoft.com/office/drawing/2014/main" id="{73AAEC1B-5EC0-42B5-BBFD-6C07781B0289}"/>
            </a:ext>
          </a:extLst>
        </xdr:cNvPr>
        <xdr:cNvSpPr/>
      </xdr:nvSpPr>
      <xdr:spPr>
        <a:xfrm flipH="1">
          <a:off x="518295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160105</xdr:colOff>
      <xdr:row>27</xdr:row>
      <xdr:rowOff>137621</xdr:rowOff>
    </xdr:from>
    <xdr:to>
      <xdr:col>20</xdr:col>
      <xdr:colOff>92102</xdr:colOff>
      <xdr:row>28</xdr:row>
      <xdr:rowOff>138509</xdr:rowOff>
    </xdr:to>
    <xdr:sp macro="" textlink="">
      <xdr:nvSpPr>
        <xdr:cNvPr id="166" name="5-Point Star 520">
          <a:extLst>
            <a:ext uri="{FF2B5EF4-FFF2-40B4-BE49-F238E27FC236}">
              <a16:creationId xmlns:a16="http://schemas.microsoft.com/office/drawing/2014/main" id="{B76E94CC-B8D2-4617-BAC7-40F50F69005C}"/>
            </a:ext>
          </a:extLst>
        </xdr:cNvPr>
        <xdr:cNvSpPr/>
      </xdr:nvSpPr>
      <xdr:spPr>
        <a:xfrm flipH="1">
          <a:off x="6168793" y="460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201380</xdr:colOff>
      <xdr:row>27</xdr:row>
      <xdr:rowOff>123334</xdr:rowOff>
    </xdr:from>
    <xdr:to>
      <xdr:col>23</xdr:col>
      <xdr:colOff>133377</xdr:colOff>
      <xdr:row>28</xdr:row>
      <xdr:rowOff>124222</xdr:rowOff>
    </xdr:to>
    <xdr:sp macro="" textlink="">
      <xdr:nvSpPr>
        <xdr:cNvPr id="167" name="5-Point Star 520">
          <a:extLst>
            <a:ext uri="{FF2B5EF4-FFF2-40B4-BE49-F238E27FC236}">
              <a16:creationId xmlns:a16="http://schemas.microsoft.com/office/drawing/2014/main" id="{869528BF-89C4-4222-8B78-696BE0B3E02D}"/>
            </a:ext>
          </a:extLst>
        </xdr:cNvPr>
        <xdr:cNvSpPr/>
      </xdr:nvSpPr>
      <xdr:spPr>
        <a:xfrm flipH="1">
          <a:off x="7194318" y="459214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164867</xdr:colOff>
      <xdr:row>27</xdr:row>
      <xdr:rowOff>126508</xdr:rowOff>
    </xdr:from>
    <xdr:to>
      <xdr:col>2</xdr:col>
      <xdr:colOff>96864</xdr:colOff>
      <xdr:row>28</xdr:row>
      <xdr:rowOff>127396</xdr:rowOff>
    </xdr:to>
    <xdr:sp macro="" textlink="">
      <xdr:nvSpPr>
        <xdr:cNvPr id="168" name="5-Point Star 520">
          <a:extLst>
            <a:ext uri="{FF2B5EF4-FFF2-40B4-BE49-F238E27FC236}">
              <a16:creationId xmlns:a16="http://schemas.microsoft.com/office/drawing/2014/main" id="{772337D2-30CB-4F6A-8ADE-A1BDC3D26E8A}"/>
            </a:ext>
          </a:extLst>
        </xdr:cNvPr>
        <xdr:cNvSpPr/>
      </xdr:nvSpPr>
      <xdr:spPr>
        <a:xfrm flipH="1">
          <a:off x="268055" y="459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190267</xdr:colOff>
      <xdr:row>27</xdr:row>
      <xdr:rowOff>128096</xdr:rowOff>
    </xdr:from>
    <xdr:to>
      <xdr:col>5</xdr:col>
      <xdr:colOff>122264</xdr:colOff>
      <xdr:row>28</xdr:row>
      <xdr:rowOff>128984</xdr:rowOff>
    </xdr:to>
    <xdr:sp macro="" textlink="">
      <xdr:nvSpPr>
        <xdr:cNvPr id="169" name="5-Point Star 520">
          <a:extLst>
            <a:ext uri="{FF2B5EF4-FFF2-40B4-BE49-F238E27FC236}">
              <a16:creationId xmlns:a16="http://schemas.microsoft.com/office/drawing/2014/main" id="{E7D86F7F-72CD-4DD7-8003-903D98795A14}"/>
            </a:ext>
          </a:extLst>
        </xdr:cNvPr>
        <xdr:cNvSpPr/>
      </xdr:nvSpPr>
      <xdr:spPr>
        <a:xfrm flipH="1">
          <a:off x="127770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144230</xdr:colOff>
      <xdr:row>27</xdr:row>
      <xdr:rowOff>129683</xdr:rowOff>
    </xdr:from>
    <xdr:to>
      <xdr:col>8</xdr:col>
      <xdr:colOff>76227</xdr:colOff>
      <xdr:row>28</xdr:row>
      <xdr:rowOff>130571</xdr:rowOff>
    </xdr:to>
    <xdr:sp macro="" textlink="">
      <xdr:nvSpPr>
        <xdr:cNvPr id="170" name="5-Point Star 520">
          <a:extLst>
            <a:ext uri="{FF2B5EF4-FFF2-40B4-BE49-F238E27FC236}">
              <a16:creationId xmlns:a16="http://schemas.microsoft.com/office/drawing/2014/main" id="{84AEBAFC-1286-4C96-A586-AD2BC9FC9D70}"/>
            </a:ext>
          </a:extLst>
        </xdr:cNvPr>
        <xdr:cNvSpPr/>
      </xdr:nvSpPr>
      <xdr:spPr>
        <a:xfrm flipH="1">
          <a:off x="2215918" y="4598496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161692</xdr:colOff>
      <xdr:row>27</xdr:row>
      <xdr:rowOff>115396</xdr:rowOff>
    </xdr:from>
    <xdr:to>
      <xdr:col>11</xdr:col>
      <xdr:colOff>93689</xdr:colOff>
      <xdr:row>28</xdr:row>
      <xdr:rowOff>116284</xdr:rowOff>
    </xdr:to>
    <xdr:sp macro="" textlink="">
      <xdr:nvSpPr>
        <xdr:cNvPr id="171" name="5-Point Star 520">
          <a:extLst>
            <a:ext uri="{FF2B5EF4-FFF2-40B4-BE49-F238E27FC236}">
              <a16:creationId xmlns:a16="http://schemas.microsoft.com/office/drawing/2014/main" id="{CCEB8F72-9BBC-4125-A09B-76526CB53832}"/>
            </a:ext>
          </a:extLst>
        </xdr:cNvPr>
        <xdr:cNvSpPr/>
      </xdr:nvSpPr>
      <xdr:spPr>
        <a:xfrm flipH="1">
          <a:off x="3217630" y="458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163279</xdr:colOff>
      <xdr:row>27</xdr:row>
      <xdr:rowOff>132858</xdr:rowOff>
    </xdr:from>
    <xdr:to>
      <xdr:col>14</xdr:col>
      <xdr:colOff>95276</xdr:colOff>
      <xdr:row>28</xdr:row>
      <xdr:rowOff>133746</xdr:rowOff>
    </xdr:to>
    <xdr:sp macro="" textlink="">
      <xdr:nvSpPr>
        <xdr:cNvPr id="172" name="5-Point Star 520">
          <a:extLst>
            <a:ext uri="{FF2B5EF4-FFF2-40B4-BE49-F238E27FC236}">
              <a16:creationId xmlns:a16="http://schemas.microsoft.com/office/drawing/2014/main" id="{876C96A1-8181-405A-AC41-C7F434FBCBFB}"/>
            </a:ext>
          </a:extLst>
        </xdr:cNvPr>
        <xdr:cNvSpPr/>
      </xdr:nvSpPr>
      <xdr:spPr>
        <a:xfrm flipH="1">
          <a:off x="4203467" y="460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127000</xdr:colOff>
      <xdr:row>20</xdr:row>
      <xdr:rowOff>142875</xdr:rowOff>
    </xdr:from>
    <xdr:to>
      <xdr:col>21</xdr:col>
      <xdr:colOff>257970</xdr:colOff>
      <xdr:row>22</xdr:row>
      <xdr:rowOff>140618</xdr:rowOff>
    </xdr:to>
    <xdr:sp macro="" textlink="">
      <xdr:nvSpPr>
        <xdr:cNvPr id="175" name="Arrow: Up-Down 174">
          <a:extLst>
            <a:ext uri="{FF2B5EF4-FFF2-40B4-BE49-F238E27FC236}">
              <a16:creationId xmlns:a16="http://schemas.microsoft.com/office/drawing/2014/main" id="{47243CBF-D64E-463F-9A82-53CBA7AC4BE5}"/>
            </a:ext>
          </a:extLst>
        </xdr:cNvPr>
        <xdr:cNvSpPr/>
      </xdr:nvSpPr>
      <xdr:spPr>
        <a:xfrm>
          <a:off x="6691313" y="3516313"/>
          <a:ext cx="130970" cy="362868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42107</xdr:colOff>
      <xdr:row>19</xdr:row>
      <xdr:rowOff>14640</xdr:rowOff>
    </xdr:from>
    <xdr:to>
      <xdr:col>7</xdr:col>
      <xdr:colOff>208301</xdr:colOff>
      <xdr:row>19</xdr:row>
      <xdr:rowOff>25224</xdr:rowOff>
    </xdr:to>
    <xdr:cxnSp macro="">
      <xdr:nvCxnSpPr>
        <xdr:cNvPr id="177" name="Curved Connector 522">
          <a:extLst>
            <a:ext uri="{FF2B5EF4-FFF2-40B4-BE49-F238E27FC236}">
              <a16:creationId xmlns:a16="http://schemas.microsoft.com/office/drawing/2014/main" id="{8B0BA3E1-78F1-4578-86FF-C4494FFB558C}"/>
            </a:ext>
          </a:extLst>
        </xdr:cNvPr>
        <xdr:cNvCxnSpPr/>
      </xdr:nvCxnSpPr>
      <xdr:spPr>
        <a:xfrm rot="16200000" flipH="1">
          <a:off x="1838381" y="315549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27819</xdr:colOff>
      <xdr:row>19</xdr:row>
      <xdr:rowOff>8290</xdr:rowOff>
    </xdr:from>
    <xdr:to>
      <xdr:col>4</xdr:col>
      <xdr:colOff>194013</xdr:colOff>
      <xdr:row>19</xdr:row>
      <xdr:rowOff>18874</xdr:rowOff>
    </xdr:to>
    <xdr:cxnSp macro="">
      <xdr:nvCxnSpPr>
        <xdr:cNvPr id="178" name="Curved Connector 522">
          <a:extLst>
            <a:ext uri="{FF2B5EF4-FFF2-40B4-BE49-F238E27FC236}">
              <a16:creationId xmlns:a16="http://schemas.microsoft.com/office/drawing/2014/main" id="{B0528946-2F7B-4783-BAE0-100333317245}"/>
            </a:ext>
          </a:extLst>
        </xdr:cNvPr>
        <xdr:cNvCxnSpPr/>
      </xdr:nvCxnSpPr>
      <xdr:spPr>
        <a:xfrm rot="16200000" flipH="1">
          <a:off x="839843" y="314914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37344</xdr:colOff>
      <xdr:row>11</xdr:row>
      <xdr:rowOff>1939</xdr:rowOff>
    </xdr:from>
    <xdr:to>
      <xdr:col>40</xdr:col>
      <xdr:colOff>203539</xdr:colOff>
      <xdr:row>11</xdr:row>
      <xdr:rowOff>12523</xdr:rowOff>
    </xdr:to>
    <xdr:cxnSp macro="">
      <xdr:nvCxnSpPr>
        <xdr:cNvPr id="179" name="Curved Connector 522">
          <a:extLst>
            <a:ext uri="{FF2B5EF4-FFF2-40B4-BE49-F238E27FC236}">
              <a16:creationId xmlns:a16="http://schemas.microsoft.com/office/drawing/2014/main" id="{2F842AAB-A80B-4039-8271-23FA99CD60E1}"/>
            </a:ext>
          </a:extLst>
        </xdr:cNvPr>
        <xdr:cNvCxnSpPr/>
      </xdr:nvCxnSpPr>
      <xdr:spPr>
        <a:xfrm rot="16200000" flipH="1">
          <a:off x="12668306" y="167435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</xdr:colOff>
      <xdr:row>26</xdr:row>
      <xdr:rowOff>158750</xdr:rowOff>
    </xdr:from>
    <xdr:to>
      <xdr:col>4</xdr:col>
      <xdr:colOff>237631</xdr:colOff>
      <xdr:row>26</xdr:row>
      <xdr:rowOff>169334</xdr:rowOff>
    </xdr:to>
    <xdr:cxnSp macro="">
      <xdr:nvCxnSpPr>
        <xdr:cNvPr id="180" name="Curved Connector 522">
          <a:extLst>
            <a:ext uri="{FF2B5EF4-FFF2-40B4-BE49-F238E27FC236}">
              <a16:creationId xmlns:a16="http://schemas.microsoft.com/office/drawing/2014/main" id="{B7DB8ED4-F2D2-4FB5-9DAF-417E70448DAD}"/>
            </a:ext>
          </a:extLst>
        </xdr:cNvPr>
        <xdr:cNvCxnSpPr/>
      </xdr:nvCxnSpPr>
      <xdr:spPr>
        <a:xfrm rot="16200000" flipH="1">
          <a:off x="883461" y="45775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41275</xdr:colOff>
      <xdr:row>27</xdr:row>
      <xdr:rowOff>1588</xdr:rowOff>
    </xdr:from>
    <xdr:to>
      <xdr:col>10</xdr:col>
      <xdr:colOff>207469</xdr:colOff>
      <xdr:row>27</xdr:row>
      <xdr:rowOff>12172</xdr:rowOff>
    </xdr:to>
    <xdr:cxnSp macro="">
      <xdr:nvCxnSpPr>
        <xdr:cNvPr id="181" name="Curved Connector 522">
          <a:extLst>
            <a:ext uri="{FF2B5EF4-FFF2-40B4-BE49-F238E27FC236}">
              <a16:creationId xmlns:a16="http://schemas.microsoft.com/office/drawing/2014/main" id="{C8F2C592-C5A8-41CB-82E6-5D26FD1FF14B}"/>
            </a:ext>
          </a:extLst>
        </xdr:cNvPr>
        <xdr:cNvCxnSpPr/>
      </xdr:nvCxnSpPr>
      <xdr:spPr>
        <a:xfrm rot="16200000" flipH="1">
          <a:off x="2821799" y="46029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50800</xdr:colOff>
      <xdr:row>26</xdr:row>
      <xdr:rowOff>169863</xdr:rowOff>
    </xdr:from>
    <xdr:to>
      <xdr:col>13</xdr:col>
      <xdr:colOff>216994</xdr:colOff>
      <xdr:row>26</xdr:row>
      <xdr:rowOff>180447</xdr:rowOff>
    </xdr:to>
    <xdr:cxnSp macro="">
      <xdr:nvCxnSpPr>
        <xdr:cNvPr id="182" name="Curved Connector 522">
          <a:extLst>
            <a:ext uri="{FF2B5EF4-FFF2-40B4-BE49-F238E27FC236}">
              <a16:creationId xmlns:a16="http://schemas.microsoft.com/office/drawing/2014/main" id="{CDDA0D07-3990-476F-A5E3-AAAF9EFBA83A}"/>
            </a:ext>
          </a:extLst>
        </xdr:cNvPr>
        <xdr:cNvCxnSpPr/>
      </xdr:nvCxnSpPr>
      <xdr:spPr>
        <a:xfrm rot="16200000" flipH="1">
          <a:off x="3815574" y="4588652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</xdr:colOff>
      <xdr:row>26</xdr:row>
      <xdr:rowOff>179387</xdr:rowOff>
    </xdr:from>
    <xdr:to>
      <xdr:col>16</xdr:col>
      <xdr:colOff>218581</xdr:colOff>
      <xdr:row>27</xdr:row>
      <xdr:rowOff>7409</xdr:rowOff>
    </xdr:to>
    <xdr:cxnSp macro="">
      <xdr:nvCxnSpPr>
        <xdr:cNvPr id="183" name="Curved Connector 522">
          <a:extLst>
            <a:ext uri="{FF2B5EF4-FFF2-40B4-BE49-F238E27FC236}">
              <a16:creationId xmlns:a16="http://schemas.microsoft.com/office/drawing/2014/main" id="{A6196F6A-FD47-46DF-B2CC-9CC75EC4DC52}"/>
            </a:ext>
          </a:extLst>
        </xdr:cNvPr>
        <xdr:cNvCxnSpPr/>
      </xdr:nvCxnSpPr>
      <xdr:spPr>
        <a:xfrm rot="16200000" flipH="1">
          <a:off x="4801411" y="45981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61913</xdr:colOff>
      <xdr:row>26</xdr:row>
      <xdr:rowOff>173037</xdr:rowOff>
    </xdr:from>
    <xdr:to>
      <xdr:col>19</xdr:col>
      <xdr:colOff>228107</xdr:colOff>
      <xdr:row>27</xdr:row>
      <xdr:rowOff>1059</xdr:rowOff>
    </xdr:to>
    <xdr:cxnSp macro="">
      <xdr:nvCxnSpPr>
        <xdr:cNvPr id="184" name="Curved Connector 522">
          <a:extLst>
            <a:ext uri="{FF2B5EF4-FFF2-40B4-BE49-F238E27FC236}">
              <a16:creationId xmlns:a16="http://schemas.microsoft.com/office/drawing/2014/main" id="{57D37303-5F6B-4C20-98F6-EC58BDBF558D}"/>
            </a:ext>
          </a:extLst>
        </xdr:cNvPr>
        <xdr:cNvCxnSpPr/>
      </xdr:nvCxnSpPr>
      <xdr:spPr>
        <a:xfrm rot="16200000" flipH="1">
          <a:off x="5795187" y="45918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63500</xdr:colOff>
      <xdr:row>27</xdr:row>
      <xdr:rowOff>23813</xdr:rowOff>
    </xdr:from>
    <xdr:to>
      <xdr:col>22</xdr:col>
      <xdr:colOff>229694</xdr:colOff>
      <xdr:row>27</xdr:row>
      <xdr:rowOff>34397</xdr:rowOff>
    </xdr:to>
    <xdr:cxnSp macro="">
      <xdr:nvCxnSpPr>
        <xdr:cNvPr id="185" name="Curved Connector 522">
          <a:extLst>
            <a:ext uri="{FF2B5EF4-FFF2-40B4-BE49-F238E27FC236}">
              <a16:creationId xmlns:a16="http://schemas.microsoft.com/office/drawing/2014/main" id="{EACB96E4-F18B-4C68-AF4A-5C7F3AB80CC4}"/>
            </a:ext>
          </a:extLst>
        </xdr:cNvPr>
        <xdr:cNvCxnSpPr/>
      </xdr:nvCxnSpPr>
      <xdr:spPr>
        <a:xfrm rot="16200000" flipH="1">
          <a:off x="6781024" y="4625164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49212</xdr:colOff>
      <xdr:row>19</xdr:row>
      <xdr:rowOff>9525</xdr:rowOff>
    </xdr:from>
    <xdr:to>
      <xdr:col>31</xdr:col>
      <xdr:colOff>207469</xdr:colOff>
      <xdr:row>19</xdr:row>
      <xdr:rowOff>20109</xdr:rowOff>
    </xdr:to>
    <xdr:cxnSp macro="">
      <xdr:nvCxnSpPr>
        <xdr:cNvPr id="186" name="Curved Connector 522">
          <a:extLst>
            <a:ext uri="{FF2B5EF4-FFF2-40B4-BE49-F238E27FC236}">
              <a16:creationId xmlns:a16="http://schemas.microsoft.com/office/drawing/2014/main" id="{8E4EB3E0-9E2A-4877-9541-BDB8C662D10E}"/>
            </a:ext>
          </a:extLst>
        </xdr:cNvPr>
        <xdr:cNvCxnSpPr/>
      </xdr:nvCxnSpPr>
      <xdr:spPr>
        <a:xfrm rot="16200000" flipH="1">
          <a:off x="9719486" y="31503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42862</xdr:colOff>
      <xdr:row>19</xdr:row>
      <xdr:rowOff>26988</xdr:rowOff>
    </xdr:from>
    <xdr:to>
      <xdr:col>28</xdr:col>
      <xdr:colOff>209056</xdr:colOff>
      <xdr:row>19</xdr:row>
      <xdr:rowOff>37572</xdr:rowOff>
    </xdr:to>
    <xdr:cxnSp macro="">
      <xdr:nvCxnSpPr>
        <xdr:cNvPr id="187" name="Curved Connector 522">
          <a:extLst>
            <a:ext uri="{FF2B5EF4-FFF2-40B4-BE49-F238E27FC236}">
              <a16:creationId xmlns:a16="http://schemas.microsoft.com/office/drawing/2014/main" id="{A0D580D9-67D6-4D4B-BA83-F891D1EC5C56}"/>
            </a:ext>
          </a:extLst>
        </xdr:cNvPr>
        <xdr:cNvCxnSpPr/>
      </xdr:nvCxnSpPr>
      <xdr:spPr>
        <a:xfrm rot="16200000" flipH="1">
          <a:off x="8728886" y="31678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28575</xdr:colOff>
      <xdr:row>18</xdr:row>
      <xdr:rowOff>171450</xdr:rowOff>
    </xdr:from>
    <xdr:to>
      <xdr:col>25</xdr:col>
      <xdr:colOff>194769</xdr:colOff>
      <xdr:row>18</xdr:row>
      <xdr:rowOff>182034</xdr:rowOff>
    </xdr:to>
    <xdr:cxnSp macro="">
      <xdr:nvCxnSpPr>
        <xdr:cNvPr id="188" name="Curved Connector 522">
          <a:extLst>
            <a:ext uri="{FF2B5EF4-FFF2-40B4-BE49-F238E27FC236}">
              <a16:creationId xmlns:a16="http://schemas.microsoft.com/office/drawing/2014/main" id="{B2A7B128-765D-4FEE-8AEA-8593695B79FD}"/>
            </a:ext>
          </a:extLst>
        </xdr:cNvPr>
        <xdr:cNvCxnSpPr/>
      </xdr:nvCxnSpPr>
      <xdr:spPr>
        <a:xfrm rot="16200000" flipH="1">
          <a:off x="7730349" y="31297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22224</xdr:colOff>
      <xdr:row>26</xdr:row>
      <xdr:rowOff>165100</xdr:rowOff>
    </xdr:from>
    <xdr:to>
      <xdr:col>7</xdr:col>
      <xdr:colOff>188418</xdr:colOff>
      <xdr:row>26</xdr:row>
      <xdr:rowOff>175684</xdr:rowOff>
    </xdr:to>
    <xdr:cxnSp macro="">
      <xdr:nvCxnSpPr>
        <xdr:cNvPr id="189" name="Curved Connector 522">
          <a:extLst>
            <a:ext uri="{FF2B5EF4-FFF2-40B4-BE49-F238E27FC236}">
              <a16:creationId xmlns:a16="http://schemas.microsoft.com/office/drawing/2014/main" id="{41EE1412-48D3-43EF-9E3A-56619AE56D26}"/>
            </a:ext>
          </a:extLst>
        </xdr:cNvPr>
        <xdr:cNvCxnSpPr/>
      </xdr:nvCxnSpPr>
      <xdr:spPr>
        <a:xfrm rot="16200000" flipH="1">
          <a:off x="1818498" y="458388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257175</xdr:colOff>
      <xdr:row>19</xdr:row>
      <xdr:rowOff>3175</xdr:rowOff>
    </xdr:from>
    <xdr:to>
      <xdr:col>43</xdr:col>
      <xdr:colOff>185244</xdr:colOff>
      <xdr:row>19</xdr:row>
      <xdr:rowOff>13759</xdr:rowOff>
    </xdr:to>
    <xdr:cxnSp macro="">
      <xdr:nvCxnSpPr>
        <xdr:cNvPr id="190" name="Curved Connector 522">
          <a:extLst>
            <a:ext uri="{FF2B5EF4-FFF2-40B4-BE49-F238E27FC236}">
              <a16:creationId xmlns:a16="http://schemas.microsoft.com/office/drawing/2014/main" id="{49CFFDAC-DD3F-459C-AD95-4DCED7ED973C}"/>
            </a:ext>
          </a:extLst>
        </xdr:cNvPr>
        <xdr:cNvCxnSpPr/>
      </xdr:nvCxnSpPr>
      <xdr:spPr>
        <a:xfrm rot="16200000" flipH="1">
          <a:off x="13594574" y="31440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76199</xdr:colOff>
      <xdr:row>19</xdr:row>
      <xdr:rowOff>4762</xdr:rowOff>
    </xdr:from>
    <xdr:to>
      <xdr:col>37</xdr:col>
      <xdr:colOff>242394</xdr:colOff>
      <xdr:row>19</xdr:row>
      <xdr:rowOff>15346</xdr:rowOff>
    </xdr:to>
    <xdr:cxnSp macro="">
      <xdr:nvCxnSpPr>
        <xdr:cNvPr id="191" name="Curved Connector 522">
          <a:extLst>
            <a:ext uri="{FF2B5EF4-FFF2-40B4-BE49-F238E27FC236}">
              <a16:creationId xmlns:a16="http://schemas.microsoft.com/office/drawing/2014/main" id="{C80A795A-50DF-45CE-81E8-7FF169FD27F7}"/>
            </a:ext>
          </a:extLst>
        </xdr:cNvPr>
        <xdr:cNvCxnSpPr/>
      </xdr:nvCxnSpPr>
      <xdr:spPr>
        <a:xfrm rot="16200000" flipH="1">
          <a:off x="11722911" y="314561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38099</xdr:colOff>
      <xdr:row>18</xdr:row>
      <xdr:rowOff>173037</xdr:rowOff>
    </xdr:from>
    <xdr:to>
      <xdr:col>34</xdr:col>
      <xdr:colOff>204294</xdr:colOff>
      <xdr:row>19</xdr:row>
      <xdr:rowOff>1059</xdr:rowOff>
    </xdr:to>
    <xdr:cxnSp macro="">
      <xdr:nvCxnSpPr>
        <xdr:cNvPr id="192" name="Curved Connector 522">
          <a:extLst>
            <a:ext uri="{FF2B5EF4-FFF2-40B4-BE49-F238E27FC236}">
              <a16:creationId xmlns:a16="http://schemas.microsoft.com/office/drawing/2014/main" id="{DE0657BE-6A4B-45D8-848A-2251E2B19B18}"/>
            </a:ext>
          </a:extLst>
        </xdr:cNvPr>
        <xdr:cNvCxnSpPr/>
      </xdr:nvCxnSpPr>
      <xdr:spPr>
        <a:xfrm rot="16200000" flipH="1">
          <a:off x="10700561" y="31313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37395</xdr:colOff>
      <xdr:row>2</xdr:row>
      <xdr:rowOff>146883</xdr:rowOff>
    </xdr:from>
    <xdr:to>
      <xdr:col>10</xdr:col>
      <xdr:colOff>207368</xdr:colOff>
      <xdr:row>2</xdr:row>
      <xdr:rowOff>157467</xdr:rowOff>
    </xdr:to>
    <xdr:cxnSp macro="">
      <xdr:nvCxnSpPr>
        <xdr:cNvPr id="195" name="Curved Connector 522">
          <a:extLst>
            <a:ext uri="{FF2B5EF4-FFF2-40B4-BE49-F238E27FC236}">
              <a16:creationId xmlns:a16="http://schemas.microsoft.com/office/drawing/2014/main" id="{8739AF17-4664-4BA0-BAE2-837D712F5047}"/>
            </a:ext>
          </a:extLst>
        </xdr:cNvPr>
        <xdr:cNvCxnSpPr/>
      </xdr:nvCxnSpPr>
      <xdr:spPr>
        <a:xfrm rot="16200000" flipH="1">
          <a:off x="2819809" y="150532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31046</xdr:colOff>
      <xdr:row>2</xdr:row>
      <xdr:rowOff>172283</xdr:rowOff>
    </xdr:from>
    <xdr:to>
      <xdr:col>13</xdr:col>
      <xdr:colOff>201019</xdr:colOff>
      <xdr:row>3</xdr:row>
      <xdr:rowOff>305</xdr:rowOff>
    </xdr:to>
    <xdr:cxnSp macro="">
      <xdr:nvCxnSpPr>
        <xdr:cNvPr id="196" name="Curved Connector 522">
          <a:extLst>
            <a:ext uri="{FF2B5EF4-FFF2-40B4-BE49-F238E27FC236}">
              <a16:creationId xmlns:a16="http://schemas.microsoft.com/office/drawing/2014/main" id="{F7DA2A5A-8458-48D4-8EEC-0646AC4042A6}"/>
            </a:ext>
          </a:extLst>
        </xdr:cNvPr>
        <xdr:cNvCxnSpPr/>
      </xdr:nvCxnSpPr>
      <xdr:spPr>
        <a:xfrm rot="16200000" flipH="1">
          <a:off x="3797710" y="175932"/>
          <a:ext cx="10584" cy="876411"/>
        </a:xfrm>
        <a:prstGeom prst="curvedConnector3">
          <a:avLst>
            <a:gd name="adj1" fmla="val 82382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40571</xdr:colOff>
      <xdr:row>2</xdr:row>
      <xdr:rowOff>157995</xdr:rowOff>
    </xdr:from>
    <xdr:to>
      <xdr:col>16</xdr:col>
      <xdr:colOff>210544</xdr:colOff>
      <xdr:row>2</xdr:row>
      <xdr:rowOff>168579</xdr:rowOff>
    </xdr:to>
    <xdr:cxnSp macro="">
      <xdr:nvCxnSpPr>
        <xdr:cNvPr id="197" name="Curved Connector 522">
          <a:extLst>
            <a:ext uri="{FF2B5EF4-FFF2-40B4-BE49-F238E27FC236}">
              <a16:creationId xmlns:a16="http://schemas.microsoft.com/office/drawing/2014/main" id="{22A3915F-8833-4CD1-B4B6-5E68877B440A}"/>
            </a:ext>
          </a:extLst>
        </xdr:cNvPr>
        <xdr:cNvCxnSpPr/>
      </xdr:nvCxnSpPr>
      <xdr:spPr>
        <a:xfrm rot="16200000" flipH="1">
          <a:off x="4791485" y="1616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10410</xdr:colOff>
      <xdr:row>3</xdr:row>
      <xdr:rowOff>833</xdr:rowOff>
    </xdr:from>
    <xdr:to>
      <xdr:col>22</xdr:col>
      <xdr:colOff>180383</xdr:colOff>
      <xdr:row>3</xdr:row>
      <xdr:rowOff>11417</xdr:rowOff>
    </xdr:to>
    <xdr:cxnSp macro="">
      <xdr:nvCxnSpPr>
        <xdr:cNvPr id="198" name="Curved Connector 522">
          <a:extLst>
            <a:ext uri="{FF2B5EF4-FFF2-40B4-BE49-F238E27FC236}">
              <a16:creationId xmlns:a16="http://schemas.microsoft.com/office/drawing/2014/main" id="{3E1CF70B-86D6-4209-868B-A7AD5882C782}"/>
            </a:ext>
          </a:extLst>
        </xdr:cNvPr>
        <xdr:cNvCxnSpPr/>
      </xdr:nvCxnSpPr>
      <xdr:spPr>
        <a:xfrm rot="16200000" flipH="1">
          <a:off x="6729824" y="1870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29384</xdr:colOff>
      <xdr:row>3</xdr:row>
      <xdr:rowOff>14264</xdr:rowOff>
    </xdr:from>
    <xdr:to>
      <xdr:col>19</xdr:col>
      <xdr:colOff>199357</xdr:colOff>
      <xdr:row>3</xdr:row>
      <xdr:rowOff>24848</xdr:rowOff>
    </xdr:to>
    <xdr:cxnSp macro="">
      <xdr:nvCxnSpPr>
        <xdr:cNvPr id="199" name="Curved Connector 522">
          <a:extLst>
            <a:ext uri="{FF2B5EF4-FFF2-40B4-BE49-F238E27FC236}">
              <a16:creationId xmlns:a16="http://schemas.microsoft.com/office/drawing/2014/main" id="{8D4D60AE-5744-4B2C-AA66-BF37FAE19C02}"/>
            </a:ext>
          </a:extLst>
        </xdr:cNvPr>
        <xdr:cNvCxnSpPr/>
      </xdr:nvCxnSpPr>
      <xdr:spPr>
        <a:xfrm rot="16200000" flipH="1">
          <a:off x="5839198" y="201673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61210</xdr:colOff>
      <xdr:row>2</xdr:row>
      <xdr:rowOff>178633</xdr:rowOff>
    </xdr:from>
    <xdr:to>
      <xdr:col>25</xdr:col>
      <xdr:colOff>231183</xdr:colOff>
      <xdr:row>3</xdr:row>
      <xdr:rowOff>6655</xdr:rowOff>
    </xdr:to>
    <xdr:cxnSp macro="">
      <xdr:nvCxnSpPr>
        <xdr:cNvPr id="200" name="Curved Connector 522">
          <a:extLst>
            <a:ext uri="{FF2B5EF4-FFF2-40B4-BE49-F238E27FC236}">
              <a16:creationId xmlns:a16="http://schemas.microsoft.com/office/drawing/2014/main" id="{D8256026-AB22-45CF-A33F-DD5A87BD0EE0}"/>
            </a:ext>
          </a:extLst>
        </xdr:cNvPr>
        <xdr:cNvCxnSpPr/>
      </xdr:nvCxnSpPr>
      <xdr:spPr>
        <a:xfrm rot="16200000" flipH="1">
          <a:off x="7764874" y="182282"/>
          <a:ext cx="10584" cy="876411"/>
        </a:xfrm>
        <a:prstGeom prst="curvedConnector3">
          <a:avLst>
            <a:gd name="adj1" fmla="val 92704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40316</xdr:colOff>
      <xdr:row>11</xdr:row>
      <xdr:rowOff>2</xdr:rowOff>
    </xdr:from>
    <xdr:to>
      <xdr:col>19</xdr:col>
      <xdr:colOff>210289</xdr:colOff>
      <xdr:row>11</xdr:row>
      <xdr:rowOff>20665</xdr:rowOff>
    </xdr:to>
    <xdr:cxnSp macro="">
      <xdr:nvCxnSpPr>
        <xdr:cNvPr id="2" name="Curved Connector 522">
          <a:extLst>
            <a:ext uri="{FF2B5EF4-FFF2-40B4-BE49-F238E27FC236}">
              <a16:creationId xmlns:a16="http://schemas.microsoft.com/office/drawing/2014/main" id="{881D85BC-BD34-446D-BF27-FA0D9D6BB457}"/>
            </a:ext>
          </a:extLst>
        </xdr:cNvPr>
        <xdr:cNvCxnSpPr/>
      </xdr:nvCxnSpPr>
      <xdr:spPr>
        <a:xfrm rot="16200000" flipH="1">
          <a:off x="5845090" y="169427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81845</xdr:colOff>
      <xdr:row>10</xdr:row>
      <xdr:rowOff>182640</xdr:rowOff>
    </xdr:from>
    <xdr:to>
      <xdr:col>22</xdr:col>
      <xdr:colOff>251818</xdr:colOff>
      <xdr:row>11</xdr:row>
      <xdr:rowOff>11795</xdr:rowOff>
    </xdr:to>
    <xdr:cxnSp macro="">
      <xdr:nvCxnSpPr>
        <xdr:cNvPr id="3" name="Curved Connector 522">
          <a:extLst>
            <a:ext uri="{FF2B5EF4-FFF2-40B4-BE49-F238E27FC236}">
              <a16:creationId xmlns:a16="http://schemas.microsoft.com/office/drawing/2014/main" id="{18499061-6645-4363-8740-31483358DE62}"/>
            </a:ext>
          </a:extLst>
        </xdr:cNvPr>
        <xdr:cNvCxnSpPr/>
      </xdr:nvCxnSpPr>
      <xdr:spPr>
        <a:xfrm rot="16200000" flipH="1">
          <a:off x="6884476" y="168540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42184</xdr:colOff>
      <xdr:row>18</xdr:row>
      <xdr:rowOff>174098</xdr:rowOff>
    </xdr:from>
    <xdr:to>
      <xdr:col>22</xdr:col>
      <xdr:colOff>208378</xdr:colOff>
      <xdr:row>18</xdr:row>
      <xdr:rowOff>184682</xdr:rowOff>
    </xdr:to>
    <xdr:cxnSp macro="">
      <xdr:nvCxnSpPr>
        <xdr:cNvPr id="15" name="Curved Connector 522">
          <a:extLst>
            <a:ext uri="{FF2B5EF4-FFF2-40B4-BE49-F238E27FC236}">
              <a16:creationId xmlns:a16="http://schemas.microsoft.com/office/drawing/2014/main" id="{8E882EE1-48D2-4977-BF89-8AE77DF2895B}"/>
            </a:ext>
          </a:extLst>
        </xdr:cNvPr>
        <xdr:cNvCxnSpPr/>
      </xdr:nvCxnSpPr>
      <xdr:spPr>
        <a:xfrm rot="16200000" flipH="1">
          <a:off x="6538025" y="3293971"/>
          <a:ext cx="10584" cy="84655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58434</xdr:colOff>
      <xdr:row>19</xdr:row>
      <xdr:rowOff>38779</xdr:rowOff>
    </xdr:from>
    <xdr:to>
      <xdr:col>40</xdr:col>
      <xdr:colOff>224629</xdr:colOff>
      <xdr:row>19</xdr:row>
      <xdr:rowOff>49363</xdr:rowOff>
    </xdr:to>
    <xdr:cxnSp macro="">
      <xdr:nvCxnSpPr>
        <xdr:cNvPr id="57" name="Curved Connector 522">
          <a:extLst>
            <a:ext uri="{FF2B5EF4-FFF2-40B4-BE49-F238E27FC236}">
              <a16:creationId xmlns:a16="http://schemas.microsoft.com/office/drawing/2014/main" id="{4A2342AC-FA8D-41C7-9644-979DBC62B716}"/>
            </a:ext>
          </a:extLst>
        </xdr:cNvPr>
        <xdr:cNvCxnSpPr/>
      </xdr:nvCxnSpPr>
      <xdr:spPr>
        <a:xfrm rot="16200000" flipH="1">
          <a:off x="12284394" y="3355200"/>
          <a:ext cx="10584" cy="84655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264294</xdr:colOff>
      <xdr:row>19</xdr:row>
      <xdr:rowOff>0</xdr:rowOff>
    </xdr:from>
    <xdr:to>
      <xdr:col>19</xdr:col>
      <xdr:colOff>264294</xdr:colOff>
      <xdr:row>19</xdr:row>
      <xdr:rowOff>11759</xdr:rowOff>
    </xdr:to>
    <xdr:cxnSp macro="">
      <xdr:nvCxnSpPr>
        <xdr:cNvPr id="116" name="Curved Connector 522">
          <a:extLst>
            <a:ext uri="{FF2B5EF4-FFF2-40B4-BE49-F238E27FC236}">
              <a16:creationId xmlns:a16="http://schemas.microsoft.com/office/drawing/2014/main" id="{F576A802-CC3B-4283-ABC1-E8E9740DE33F}"/>
            </a:ext>
          </a:extLst>
        </xdr:cNvPr>
        <xdr:cNvCxnSpPr>
          <a:stCxn id="81" idx="0"/>
          <a:endCxn id="82" idx="0"/>
        </xdr:cNvCxnSpPr>
      </xdr:nvCxnSpPr>
      <xdr:spPr>
        <a:xfrm rot="5400000" flipH="1" flipV="1">
          <a:off x="5587878" y="3264035"/>
          <a:ext cx="11759" cy="952500"/>
        </a:xfrm>
        <a:prstGeom prst="curvedConnector3">
          <a:avLst>
            <a:gd name="adj1" fmla="val -12989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F2C67EEA-6E79-4135-8FA4-22B3ED05B8A2}"/>
            </a:ext>
          </a:extLst>
        </xdr:cNvPr>
        <xdr:cNvSpPr/>
      </xdr:nvSpPr>
      <xdr:spPr>
        <a:xfrm>
          <a:off x="39007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3DE265B0-D991-4086-AF7C-E758A8837C77}"/>
            </a:ext>
          </a:extLst>
        </xdr:cNvPr>
        <xdr:cNvSpPr/>
      </xdr:nvSpPr>
      <xdr:spPr>
        <a:xfrm>
          <a:off x="29482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EAB48927-6774-4ED1-AEE8-7060CDCCFEAE}"/>
            </a:ext>
          </a:extLst>
        </xdr:cNvPr>
        <xdr:cNvSpPr/>
      </xdr:nvSpPr>
      <xdr:spPr>
        <a:xfrm>
          <a:off x="19957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11</xdr:col>
      <xdr:colOff>21169</xdr:colOff>
      <xdr:row>10</xdr:row>
      <xdr:rowOff>179916</xdr:rowOff>
    </xdr:from>
    <xdr:to>
      <xdr:col>13</xdr:col>
      <xdr:colOff>191141</xdr:colOff>
      <xdr:row>10</xdr:row>
      <xdr:rowOff>200579</xdr:rowOff>
    </xdr:to>
    <xdr:cxnSp macro="">
      <xdr:nvCxnSpPr>
        <xdr:cNvPr id="86" name="Curved Connector 522">
          <a:extLst>
            <a:ext uri="{FF2B5EF4-FFF2-40B4-BE49-F238E27FC236}">
              <a16:creationId xmlns:a16="http://schemas.microsoft.com/office/drawing/2014/main" id="{C56566E5-6771-4E1A-AE6A-93DBBDCEEFC9}"/>
            </a:ext>
          </a:extLst>
        </xdr:cNvPr>
        <xdr:cNvCxnSpPr/>
      </xdr:nvCxnSpPr>
      <xdr:spPr>
        <a:xfrm rot="16200000" flipH="1">
          <a:off x="3620073" y="1735095"/>
          <a:ext cx="20663" cy="847306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42333</xdr:colOff>
      <xdr:row>11</xdr:row>
      <xdr:rowOff>10585</xdr:rowOff>
    </xdr:from>
    <xdr:to>
      <xdr:col>10</xdr:col>
      <xdr:colOff>212306</xdr:colOff>
      <xdr:row>11</xdr:row>
      <xdr:rowOff>31248</xdr:rowOff>
    </xdr:to>
    <xdr:cxnSp macro="">
      <xdr:nvCxnSpPr>
        <xdr:cNvPr id="91" name="Curved Connector 522">
          <a:extLst>
            <a:ext uri="{FF2B5EF4-FFF2-40B4-BE49-F238E27FC236}">
              <a16:creationId xmlns:a16="http://schemas.microsoft.com/office/drawing/2014/main" id="{67786AE3-3E39-4BC1-AD16-2B98EBD0C6F2}"/>
            </a:ext>
          </a:extLst>
        </xdr:cNvPr>
        <xdr:cNvCxnSpPr/>
      </xdr:nvCxnSpPr>
      <xdr:spPr>
        <a:xfrm rot="16200000" flipH="1">
          <a:off x="2699321" y="1766847"/>
          <a:ext cx="20663" cy="847306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21167</xdr:colOff>
      <xdr:row>10</xdr:row>
      <xdr:rowOff>190501</xdr:rowOff>
    </xdr:from>
    <xdr:to>
      <xdr:col>16</xdr:col>
      <xdr:colOff>191140</xdr:colOff>
      <xdr:row>11</xdr:row>
      <xdr:rowOff>10081</xdr:rowOff>
    </xdr:to>
    <xdr:cxnSp macro="">
      <xdr:nvCxnSpPr>
        <xdr:cNvPr id="92" name="Curved Connector 522">
          <a:extLst>
            <a:ext uri="{FF2B5EF4-FFF2-40B4-BE49-F238E27FC236}">
              <a16:creationId xmlns:a16="http://schemas.microsoft.com/office/drawing/2014/main" id="{CD07ED33-54B8-4FFA-B1B4-2BF413771333}"/>
            </a:ext>
          </a:extLst>
        </xdr:cNvPr>
        <xdr:cNvCxnSpPr/>
      </xdr:nvCxnSpPr>
      <xdr:spPr>
        <a:xfrm rot="16200000" flipH="1">
          <a:off x="4561988" y="1745680"/>
          <a:ext cx="20663" cy="847306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175683</xdr:colOff>
      <xdr:row>11</xdr:row>
      <xdr:rowOff>116417</xdr:rowOff>
    </xdr:from>
    <xdr:to>
      <xdr:col>20</xdr:col>
      <xdr:colOff>107680</xdr:colOff>
      <xdr:row>12</xdr:row>
      <xdr:rowOff>117304</xdr:rowOff>
    </xdr:to>
    <xdr:sp macro="" textlink="">
      <xdr:nvSpPr>
        <xdr:cNvPr id="93" name="5-Point Star 520">
          <a:extLst>
            <a:ext uri="{FF2B5EF4-FFF2-40B4-BE49-F238E27FC236}">
              <a16:creationId xmlns:a16="http://schemas.microsoft.com/office/drawing/2014/main" id="{D026398A-6E3F-43A6-9CC0-F941D4811285}"/>
            </a:ext>
          </a:extLst>
        </xdr:cNvPr>
        <xdr:cNvSpPr/>
      </xdr:nvSpPr>
      <xdr:spPr>
        <a:xfrm flipH="1">
          <a:off x="5922433" y="2286000"/>
          <a:ext cx="196580" cy="19138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173567</xdr:colOff>
      <xdr:row>11</xdr:row>
      <xdr:rowOff>105833</xdr:rowOff>
    </xdr:from>
    <xdr:to>
      <xdr:col>17</xdr:col>
      <xdr:colOff>105563</xdr:colOff>
      <xdr:row>12</xdr:row>
      <xdr:rowOff>106720</xdr:rowOff>
    </xdr:to>
    <xdr:sp macro="" textlink="">
      <xdr:nvSpPr>
        <xdr:cNvPr id="96" name="5-Point Star 520">
          <a:extLst>
            <a:ext uri="{FF2B5EF4-FFF2-40B4-BE49-F238E27FC236}">
              <a16:creationId xmlns:a16="http://schemas.microsoft.com/office/drawing/2014/main" id="{E0C1C64D-8BBE-41D9-B9A2-6D7B5DF16B4B}"/>
            </a:ext>
          </a:extLst>
        </xdr:cNvPr>
        <xdr:cNvSpPr/>
      </xdr:nvSpPr>
      <xdr:spPr>
        <a:xfrm flipH="1">
          <a:off x="4978400" y="2275416"/>
          <a:ext cx="196580" cy="19138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23092</xdr:colOff>
      <xdr:row>27</xdr:row>
      <xdr:rowOff>45462</xdr:rowOff>
    </xdr:from>
    <xdr:to>
      <xdr:col>25</xdr:col>
      <xdr:colOff>189286</xdr:colOff>
      <xdr:row>27</xdr:row>
      <xdr:rowOff>56046</xdr:rowOff>
    </xdr:to>
    <xdr:cxnSp macro="">
      <xdr:nvCxnSpPr>
        <xdr:cNvPr id="98" name="Curved Connector 522">
          <a:extLst>
            <a:ext uri="{FF2B5EF4-FFF2-40B4-BE49-F238E27FC236}">
              <a16:creationId xmlns:a16="http://schemas.microsoft.com/office/drawing/2014/main" id="{5C876C74-A0E6-4FD7-AD78-503EE860E5F7}"/>
            </a:ext>
          </a:extLst>
        </xdr:cNvPr>
        <xdr:cNvCxnSpPr/>
      </xdr:nvCxnSpPr>
      <xdr:spPr>
        <a:xfrm rot="16200000" flipH="1">
          <a:off x="7703579" y="4741702"/>
          <a:ext cx="10584" cy="8704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163943</xdr:colOff>
      <xdr:row>10</xdr:row>
      <xdr:rowOff>151682</xdr:rowOff>
    </xdr:from>
    <xdr:to>
      <xdr:col>8</xdr:col>
      <xdr:colOff>53047</xdr:colOff>
      <xdr:row>10</xdr:row>
      <xdr:rowOff>162266</xdr:rowOff>
    </xdr:to>
    <xdr:cxnSp macro="">
      <xdr:nvCxnSpPr>
        <xdr:cNvPr id="100" name="Curved Connector 522">
          <a:extLst>
            <a:ext uri="{FF2B5EF4-FFF2-40B4-BE49-F238E27FC236}">
              <a16:creationId xmlns:a16="http://schemas.microsoft.com/office/drawing/2014/main" id="{368A0808-D47F-4A89-88D4-569E47B8093E}"/>
            </a:ext>
          </a:extLst>
        </xdr:cNvPr>
        <xdr:cNvCxnSpPr/>
      </xdr:nvCxnSpPr>
      <xdr:spPr>
        <a:xfrm rot="16200000" flipH="1">
          <a:off x="1956249" y="1672922"/>
          <a:ext cx="10584" cy="8704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2578125" defaultRowHeight="15" customHeight="1"/>
  <cols>
    <col min="1" max="2" width="8.85546875" customWidth="1"/>
    <col min="3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90" t="s">
        <v>0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1"/>
      <c r="T1" s="591"/>
      <c r="U1" s="591"/>
      <c r="V1" s="591"/>
      <c r="W1" s="591"/>
      <c r="X1" s="591"/>
      <c r="Y1" s="591"/>
      <c r="Z1" s="592"/>
    </row>
    <row r="2" spans="1:26" ht="14.25" customHeight="1">
      <c r="A2" s="590" t="s">
        <v>1</v>
      </c>
      <c r="B2" s="591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591"/>
      <c r="V2" s="591"/>
      <c r="W2" s="591"/>
      <c r="X2" s="591"/>
      <c r="Y2" s="591"/>
      <c r="Z2" s="592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93" t="s">
        <v>7</v>
      </c>
      <c r="G3" s="591"/>
      <c r="H3" s="591"/>
      <c r="I3" s="592"/>
      <c r="J3" s="2" t="s">
        <v>8</v>
      </c>
      <c r="K3" s="593" t="s">
        <v>9</v>
      </c>
      <c r="L3" s="591"/>
      <c r="M3" s="591"/>
      <c r="N3" s="592"/>
      <c r="O3" s="2" t="s">
        <v>10</v>
      </c>
      <c r="P3" s="4" t="s">
        <v>11</v>
      </c>
      <c r="Q3" s="594" t="s">
        <v>12</v>
      </c>
      <c r="R3" s="591"/>
      <c r="S3" s="592"/>
      <c r="T3" s="595" t="s">
        <v>13</v>
      </c>
      <c r="U3" s="591"/>
      <c r="V3" s="592"/>
      <c r="W3" s="596" t="s">
        <v>14</v>
      </c>
      <c r="X3" s="597"/>
      <c r="Y3" s="598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2" width="8.85546875" customWidth="1"/>
    <col min="3" max="3" width="14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  <col min="27" max="28" width="8.85546875" customWidth="1"/>
  </cols>
  <sheetData>
    <row r="1" spans="1:26" ht="14.25" customHeight="1">
      <c r="A1" s="590" t="str">
        <f>+Summary!A2</f>
        <v>Name of the Line: 220KV DC AL59 line from Neemuch - Chanderiya + 132KV DC ACSS Line from Chanderiya to Hindustan Zinc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1"/>
      <c r="T1" s="591"/>
      <c r="U1" s="591"/>
      <c r="V1" s="591"/>
      <c r="W1" s="591"/>
      <c r="X1" s="591"/>
      <c r="Y1" s="591"/>
      <c r="Z1" s="592"/>
    </row>
    <row r="2" spans="1:26" ht="14.25" customHeight="1">
      <c r="A2" s="590" t="s">
        <v>296</v>
      </c>
      <c r="B2" s="591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591"/>
      <c r="V2" s="591"/>
      <c r="W2" s="591"/>
      <c r="X2" s="591"/>
      <c r="Y2" s="591"/>
      <c r="Z2" s="592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93" t="s">
        <v>7</v>
      </c>
      <c r="G3" s="591"/>
      <c r="H3" s="591"/>
      <c r="I3" s="592"/>
      <c r="J3" s="2" t="s">
        <v>8</v>
      </c>
      <c r="K3" s="593" t="s">
        <v>9</v>
      </c>
      <c r="L3" s="591"/>
      <c r="M3" s="591"/>
      <c r="N3" s="592"/>
      <c r="O3" s="2" t="s">
        <v>10</v>
      </c>
      <c r="P3" s="4" t="s">
        <v>11</v>
      </c>
      <c r="Q3" s="594" t="s">
        <v>12</v>
      </c>
      <c r="R3" s="591"/>
      <c r="S3" s="592"/>
      <c r="T3" s="595" t="s">
        <v>13</v>
      </c>
      <c r="U3" s="591"/>
      <c r="V3" s="592"/>
      <c r="W3" s="596" t="s">
        <v>14</v>
      </c>
      <c r="X3" s="597"/>
      <c r="Y3" s="598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2578125" defaultRowHeight="15" customHeight="1"/>
  <cols>
    <col min="1" max="1" width="5.28515625" customWidth="1"/>
    <col min="2" max="2" width="13.7109375" customWidth="1"/>
    <col min="3" max="3" width="11.140625" customWidth="1"/>
    <col min="4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90" t="str">
        <f>+Summary!A2</f>
        <v>Name of the Line: 220KV DC AL59 line from Neemuch - Chanderiya + 132KV DC ACSS Line from Chanderiya to Hindustan Zinc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1"/>
      <c r="T1" s="591"/>
      <c r="U1" s="591"/>
      <c r="V1" s="591"/>
      <c r="W1" s="591"/>
      <c r="X1" s="591"/>
      <c r="Y1" s="591"/>
      <c r="Z1" s="592"/>
    </row>
    <row r="2" spans="1:26" ht="14.25" customHeight="1">
      <c r="A2" s="590" t="s">
        <v>302</v>
      </c>
      <c r="B2" s="591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591"/>
      <c r="V2" s="591"/>
      <c r="W2" s="591"/>
      <c r="X2" s="591"/>
      <c r="Y2" s="591"/>
      <c r="Z2" s="592"/>
    </row>
    <row r="3" spans="1:26" ht="30" customHeight="1">
      <c r="A3" s="600" t="s">
        <v>2</v>
      </c>
      <c r="B3" s="600" t="s">
        <v>3</v>
      </c>
      <c r="C3" s="600" t="s">
        <v>4</v>
      </c>
      <c r="D3" s="2" t="s">
        <v>5</v>
      </c>
      <c r="E3" s="2" t="s">
        <v>6</v>
      </c>
      <c r="F3" s="593" t="s">
        <v>7</v>
      </c>
      <c r="G3" s="591"/>
      <c r="H3" s="591"/>
      <c r="I3" s="592"/>
      <c r="J3" s="2" t="s">
        <v>8</v>
      </c>
      <c r="K3" s="593" t="s">
        <v>9</v>
      </c>
      <c r="L3" s="591"/>
      <c r="M3" s="591"/>
      <c r="N3" s="592"/>
      <c r="O3" s="2" t="s">
        <v>10</v>
      </c>
      <c r="P3" s="4" t="s">
        <v>11</v>
      </c>
      <c r="Q3" s="594" t="s">
        <v>12</v>
      </c>
      <c r="R3" s="591"/>
      <c r="S3" s="592"/>
      <c r="T3" s="595" t="s">
        <v>13</v>
      </c>
      <c r="U3" s="591"/>
      <c r="V3" s="592"/>
      <c r="W3" s="596" t="s">
        <v>14</v>
      </c>
      <c r="X3" s="597"/>
      <c r="Y3" s="598"/>
      <c r="Z3" s="599" t="s">
        <v>15</v>
      </c>
    </row>
    <row r="4" spans="1:26" ht="22.5" customHeight="1">
      <c r="A4" s="580"/>
      <c r="B4" s="580"/>
      <c r="C4" s="580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80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2578125" defaultRowHeight="15" customHeight="1"/>
  <cols>
    <col min="1" max="2" width="8.85546875" customWidth="1"/>
    <col min="3" max="3" width="16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hidden="1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90" t="str">
        <f>+Summary!A2</f>
        <v>Name of the Line: 220KV DC AL59 line from Neemuch - Chanderiya + 132KV DC ACSS Line from Chanderiya to Hindustan Zinc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1"/>
      <c r="T1" s="591"/>
      <c r="U1" s="591"/>
      <c r="V1" s="591"/>
      <c r="W1" s="591"/>
      <c r="X1" s="591"/>
      <c r="Y1" s="591"/>
      <c r="Z1" s="592"/>
    </row>
    <row r="2" spans="1:26" ht="14.25" customHeight="1">
      <c r="A2" s="590" t="s">
        <v>296</v>
      </c>
      <c r="B2" s="591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591"/>
      <c r="V2" s="591"/>
      <c r="W2" s="591"/>
      <c r="X2" s="591"/>
      <c r="Y2" s="591"/>
      <c r="Z2" s="592"/>
    </row>
    <row r="3" spans="1:26" ht="30" customHeight="1">
      <c r="A3" s="600" t="s">
        <v>2</v>
      </c>
      <c r="B3" s="600" t="s">
        <v>3</v>
      </c>
      <c r="C3" s="600" t="s">
        <v>4</v>
      </c>
      <c r="D3" s="2" t="s">
        <v>5</v>
      </c>
      <c r="E3" s="2" t="s">
        <v>6</v>
      </c>
      <c r="F3" s="593" t="s">
        <v>7</v>
      </c>
      <c r="G3" s="591"/>
      <c r="H3" s="591"/>
      <c r="I3" s="592"/>
      <c r="J3" s="2" t="s">
        <v>8</v>
      </c>
      <c r="K3" s="593" t="s">
        <v>9</v>
      </c>
      <c r="L3" s="591"/>
      <c r="M3" s="591"/>
      <c r="N3" s="592"/>
      <c r="O3" s="2" t="s">
        <v>10</v>
      </c>
      <c r="P3" s="4" t="s">
        <v>11</v>
      </c>
      <c r="Q3" s="594" t="s">
        <v>12</v>
      </c>
      <c r="R3" s="591"/>
      <c r="S3" s="592"/>
      <c r="T3" s="595" t="s">
        <v>13</v>
      </c>
      <c r="U3" s="591"/>
      <c r="V3" s="592"/>
      <c r="W3" s="596" t="s">
        <v>14</v>
      </c>
      <c r="X3" s="597"/>
      <c r="Y3" s="598"/>
      <c r="Z3" s="599" t="s">
        <v>15</v>
      </c>
    </row>
    <row r="4" spans="1:26" ht="22.5" customHeight="1">
      <c r="A4" s="580"/>
      <c r="B4" s="580"/>
      <c r="C4" s="580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80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tabSelected="1" zoomScale="85" zoomScaleNormal="85" workbookViewId="0">
      <pane xSplit="2" ySplit="7" topLeftCell="C29" activePane="bottomRight" state="frozen"/>
      <selection pane="topRight" activeCell="C1" sqref="C1"/>
      <selection pane="bottomLeft" activeCell="A8" sqref="A8"/>
      <selection pane="bottomRight" activeCell="P10" sqref="P10:P11"/>
    </sheetView>
  </sheetViews>
  <sheetFormatPr defaultColWidth="14.42578125" defaultRowHeight="15" customHeight="1"/>
  <cols>
    <col min="1" max="1" width="6.5703125" style="346" customWidth="1"/>
    <col min="2" max="2" width="18.85546875" style="346" customWidth="1"/>
    <col min="3" max="3" width="6.28515625" style="346" customWidth="1"/>
    <col min="4" max="4" width="13" style="346" customWidth="1"/>
    <col min="5" max="5" width="12.140625" style="346" hidden="1" customWidth="1"/>
    <col min="6" max="6" width="11.28515625" style="346" hidden="1" customWidth="1"/>
    <col min="7" max="8" width="11.42578125" style="346" customWidth="1"/>
    <col min="9" max="9" width="11.140625" style="346" customWidth="1"/>
    <col min="10" max="10" width="10.85546875" style="346" customWidth="1"/>
    <col min="11" max="11" width="13.140625" style="346" customWidth="1"/>
    <col min="12" max="12" width="11.5703125" style="346" customWidth="1"/>
    <col min="13" max="13" width="13.85546875" style="346" customWidth="1"/>
    <col min="14" max="14" width="15.140625" style="346" customWidth="1"/>
    <col min="15" max="15" width="11.5703125" style="346" customWidth="1"/>
    <col min="16" max="16" width="12" style="346" customWidth="1"/>
    <col min="17" max="17" width="9.42578125" style="346" customWidth="1"/>
    <col min="18" max="18" width="44.140625" style="346" customWidth="1"/>
    <col min="19" max="19" width="13.5703125" style="346" customWidth="1"/>
    <col min="20" max="20" width="13.7109375" style="346" customWidth="1"/>
    <col min="21" max="21" width="14.85546875" style="346" customWidth="1"/>
    <col min="22" max="22" width="12.28515625" style="346" customWidth="1"/>
    <col min="23" max="42" width="9.140625" style="346" customWidth="1"/>
    <col min="43" max="43" width="14.140625" style="346" customWidth="1"/>
    <col min="44" max="63" width="9.140625" style="346" customWidth="1"/>
    <col min="64" max="16384" width="14.42578125" style="346"/>
  </cols>
  <sheetData>
    <row r="1" spans="1:43" ht="12.75" customHeight="1">
      <c r="A1" s="601" t="s">
        <v>345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3"/>
      <c r="S1" s="345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45"/>
      <c r="AF1" s="345"/>
      <c r="AG1" s="345"/>
      <c r="AH1" s="345"/>
      <c r="AI1" s="345"/>
      <c r="AJ1" s="345"/>
      <c r="AK1" s="345"/>
      <c r="AL1" s="345"/>
      <c r="AM1" s="345"/>
      <c r="AN1" s="345"/>
      <c r="AO1" s="345"/>
      <c r="AP1" s="345"/>
      <c r="AQ1" s="345"/>
    </row>
    <row r="2" spans="1:43" ht="15.75" customHeight="1">
      <c r="A2" s="604" t="s">
        <v>346</v>
      </c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339"/>
      <c r="O2" s="606" t="s">
        <v>347</v>
      </c>
      <c r="P2" s="605"/>
      <c r="Q2" s="605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</row>
    <row r="3" spans="1:43" ht="13.5" customHeight="1">
      <c r="A3" s="607" t="s">
        <v>348</v>
      </c>
      <c r="B3" s="605"/>
      <c r="C3" s="605"/>
      <c r="D3" s="605"/>
      <c r="E3" s="605"/>
      <c r="F3" s="605"/>
      <c r="G3" s="605"/>
      <c r="H3" s="605"/>
      <c r="I3" s="605"/>
      <c r="J3" s="605"/>
      <c r="K3" s="605"/>
      <c r="L3" s="605"/>
      <c r="M3" s="608"/>
      <c r="N3" s="609"/>
      <c r="O3" s="610" t="s">
        <v>349</v>
      </c>
      <c r="P3" s="605"/>
      <c r="Q3" s="605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617" t="s">
        <v>350</v>
      </c>
      <c r="B4" s="612"/>
      <c r="C4" s="612"/>
      <c r="D4" s="612"/>
      <c r="E4" s="612"/>
      <c r="F4" s="612"/>
      <c r="G4" s="612"/>
      <c r="H4" s="612"/>
      <c r="I4" s="612"/>
      <c r="J4" s="612"/>
      <c r="K4" s="612"/>
      <c r="L4" s="612"/>
      <c r="M4" s="340"/>
      <c r="N4" s="340"/>
      <c r="O4" s="611" t="s">
        <v>351</v>
      </c>
      <c r="P4" s="612"/>
      <c r="Q4" s="612"/>
      <c r="R4" s="72">
        <v>46203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618" t="s">
        <v>353</v>
      </c>
      <c r="B5" s="602"/>
      <c r="C5" s="602"/>
      <c r="D5" s="602"/>
      <c r="E5" s="602"/>
      <c r="F5" s="602"/>
      <c r="G5" s="602"/>
      <c r="H5" s="602"/>
      <c r="I5" s="602"/>
      <c r="J5" s="602"/>
      <c r="K5" s="602"/>
      <c r="L5" s="602"/>
      <c r="M5" s="602"/>
      <c r="N5" s="602"/>
      <c r="O5" s="602"/>
      <c r="P5" s="619"/>
      <c r="Q5" s="384" t="s">
        <v>354</v>
      </c>
      <c r="R5" s="385">
        <v>46230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620" t="s">
        <v>355</v>
      </c>
      <c r="B6" s="622" t="s">
        <v>356</v>
      </c>
      <c r="C6" s="622" t="s">
        <v>357</v>
      </c>
      <c r="D6" s="622" t="s">
        <v>358</v>
      </c>
      <c r="E6" s="613" t="s">
        <v>359</v>
      </c>
      <c r="F6" s="614"/>
      <c r="G6" s="613" t="s">
        <v>360</v>
      </c>
      <c r="H6" s="614"/>
      <c r="I6" s="615" t="s">
        <v>766</v>
      </c>
      <c r="J6" s="616"/>
      <c r="K6" s="614"/>
      <c r="L6" s="613" t="s">
        <v>361</v>
      </c>
      <c r="M6" s="616"/>
      <c r="N6" s="614"/>
      <c r="O6" s="613" t="s">
        <v>362</v>
      </c>
      <c r="P6" s="616"/>
      <c r="Q6" s="614"/>
      <c r="R6" s="627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59.25" customHeight="1">
      <c r="A7" s="621"/>
      <c r="B7" s="623"/>
      <c r="C7" s="623"/>
      <c r="D7" s="623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628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26.25" customHeight="1">
      <c r="A8" s="386">
        <v>1</v>
      </c>
      <c r="B8" s="341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387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28.5" customHeight="1">
      <c r="A9" s="386">
        <v>2</v>
      </c>
      <c r="B9" s="341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496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386">
        <v>3</v>
      </c>
      <c r="B10" s="341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199</v>
      </c>
      <c r="I10" s="83">
        <v>0</v>
      </c>
      <c r="J10" s="81">
        <v>0</v>
      </c>
      <c r="K10" s="84">
        <f>M10-H10</f>
        <v>0</v>
      </c>
      <c r="L10" s="79">
        <v>199</v>
      </c>
      <c r="M10" s="81">
        <f>'Progress-220kV'!AM411</f>
        <v>199</v>
      </c>
      <c r="N10" s="79">
        <f>D10-M10</f>
        <v>0</v>
      </c>
      <c r="O10" s="629"/>
      <c r="P10" s="629"/>
      <c r="Q10" s="630">
        <f t="shared" si="1"/>
        <v>0</v>
      </c>
      <c r="R10" s="632" t="s">
        <v>769</v>
      </c>
      <c r="S10" s="339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386">
        <v>4</v>
      </c>
      <c r="B11" s="341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199</v>
      </c>
      <c r="I11" s="83">
        <v>0</v>
      </c>
      <c r="J11" s="81">
        <v>0</v>
      </c>
      <c r="K11" s="79">
        <v>0</v>
      </c>
      <c r="L11" s="79">
        <v>199</v>
      </c>
      <c r="M11" s="83">
        <f>'Progress-220kV'!AV411</f>
        <v>199</v>
      </c>
      <c r="N11" s="79">
        <f>D11-M11</f>
        <v>0</v>
      </c>
      <c r="O11" s="623"/>
      <c r="P11" s="623"/>
      <c r="Q11" s="631"/>
      <c r="R11" s="633"/>
      <c r="S11" s="339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386">
        <v>5</v>
      </c>
      <c r="B12" s="341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199</v>
      </c>
      <c r="I12" s="83">
        <v>0</v>
      </c>
      <c r="J12" s="83"/>
      <c r="K12" s="79">
        <f>M12-H12</f>
        <v>0</v>
      </c>
      <c r="L12" s="79">
        <v>199</v>
      </c>
      <c r="M12" s="81">
        <v>199</v>
      </c>
      <c r="N12" s="79">
        <f>D12-M12</f>
        <v>0</v>
      </c>
      <c r="O12" s="78">
        <v>0</v>
      </c>
      <c r="P12" s="78">
        <v>0</v>
      </c>
      <c r="Q12" s="78">
        <v>0</v>
      </c>
      <c r="R12" s="555"/>
      <c r="S12" s="339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33.75" customHeight="1">
      <c r="A13" s="386">
        <v>6</v>
      </c>
      <c r="B13" s="341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194</v>
      </c>
      <c r="I13" s="83">
        <v>5</v>
      </c>
      <c r="J13" s="83">
        <v>0</v>
      </c>
      <c r="K13" s="84">
        <v>0</v>
      </c>
      <c r="L13" s="79">
        <v>199</v>
      </c>
      <c r="M13" s="83">
        <f>'Progress-220kV'!BI411</f>
        <v>199</v>
      </c>
      <c r="N13" s="79">
        <f>D13-M13</f>
        <v>0</v>
      </c>
      <c r="O13" s="78">
        <v>0</v>
      </c>
      <c r="P13" s="78">
        <v>0</v>
      </c>
      <c r="Q13" s="78">
        <f t="shared" ref="Q13" si="3">+O13-P13</f>
        <v>0</v>
      </c>
      <c r="R13" s="569"/>
      <c r="S13" s="339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7.95" customHeight="1">
      <c r="A14" s="386">
        <v>7</v>
      </c>
      <c r="B14" s="341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624"/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7.95" customHeight="1">
      <c r="A15" s="386" t="s">
        <v>385</v>
      </c>
      <c r="B15" s="341" t="s">
        <v>386</v>
      </c>
      <c r="C15" s="78" t="s">
        <v>377</v>
      </c>
      <c r="D15" s="79">
        <v>64.03</v>
      </c>
      <c r="E15" s="80">
        <v>45607</v>
      </c>
      <c r="F15" s="80">
        <v>45777</v>
      </c>
      <c r="G15" s="90">
        <v>64</v>
      </c>
      <c r="H15" s="89">
        <v>61.2</v>
      </c>
      <c r="I15" s="89">
        <f>G15-H15</f>
        <v>2.7999999999999972</v>
      </c>
      <c r="J15" s="91">
        <v>0</v>
      </c>
      <c r="K15" s="479">
        <f>M15-H15</f>
        <v>2.8251009999999894</v>
      </c>
      <c r="L15" s="79">
        <v>64</v>
      </c>
      <c r="M15" s="476">
        <f>'Stringing-220kV'!I3</f>
        <v>64.025100999999992</v>
      </c>
      <c r="N15" s="471">
        <f>D15-M15</f>
        <v>4.8990000000088685E-3</v>
      </c>
      <c r="O15" s="634">
        <v>0</v>
      </c>
      <c r="P15" s="629">
        <v>0</v>
      </c>
      <c r="Q15" s="634">
        <f>+O15-P15</f>
        <v>0</v>
      </c>
      <c r="R15" s="625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7.95" customHeight="1">
      <c r="A16" s="386" t="s">
        <v>387</v>
      </c>
      <c r="B16" s="341" t="s">
        <v>388</v>
      </c>
      <c r="C16" s="78" t="s">
        <v>377</v>
      </c>
      <c r="D16" s="79">
        <v>64.03</v>
      </c>
      <c r="E16" s="80">
        <v>45607</v>
      </c>
      <c r="F16" s="80">
        <v>45777</v>
      </c>
      <c r="G16" s="90">
        <v>64</v>
      </c>
      <c r="H16" s="89">
        <v>61.2</v>
      </c>
      <c r="I16" s="89">
        <f t="shared" ref="I16:I17" si="5">G16-H16</f>
        <v>2.7999999999999972</v>
      </c>
      <c r="J16" s="91">
        <v>0</v>
      </c>
      <c r="K16" s="479">
        <f>M16-H16</f>
        <v>2.8251009999999894</v>
      </c>
      <c r="L16" s="79">
        <v>64</v>
      </c>
      <c r="M16" s="476">
        <f>'Stringing-220kV'!L3</f>
        <v>64.025100999999992</v>
      </c>
      <c r="N16" s="471">
        <f t="shared" ref="N16:N17" si="6">D16-M16</f>
        <v>4.8990000000088685E-3</v>
      </c>
      <c r="O16" s="623"/>
      <c r="P16" s="623"/>
      <c r="Q16" s="623"/>
      <c r="R16" s="626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450000000000003" customHeight="1" thickBot="1">
      <c r="A17" s="388" t="s">
        <v>389</v>
      </c>
      <c r="B17" s="389" t="s">
        <v>390</v>
      </c>
      <c r="C17" s="390" t="s">
        <v>377</v>
      </c>
      <c r="D17" s="391">
        <v>64.03</v>
      </c>
      <c r="E17" s="392">
        <v>45627</v>
      </c>
      <c r="F17" s="392">
        <v>45777</v>
      </c>
      <c r="G17" s="393">
        <v>64</v>
      </c>
      <c r="H17" s="394">
        <v>53.721834999999999</v>
      </c>
      <c r="I17" s="394">
        <f t="shared" si="5"/>
        <v>10.278165000000001</v>
      </c>
      <c r="J17" s="394">
        <v>0</v>
      </c>
      <c r="K17" s="395">
        <f>M17-H17</f>
        <v>10.336265999999995</v>
      </c>
      <c r="L17" s="391">
        <v>64</v>
      </c>
      <c r="M17" s="497">
        <f>'Stringing-220kV'!X3</f>
        <v>64.058100999999994</v>
      </c>
      <c r="N17" s="391">
        <f t="shared" si="6"/>
        <v>-2.8100999999992382E-2</v>
      </c>
      <c r="O17" s="390">
        <v>0</v>
      </c>
      <c r="P17" s="396">
        <v>0</v>
      </c>
      <c r="Q17" s="390">
        <f>+O17-P17</f>
        <v>0</v>
      </c>
      <c r="R17" s="397"/>
    </row>
    <row r="18" spans="1:18" ht="12.75" customHeight="1" thickBot="1">
      <c r="A18" s="347"/>
      <c r="B18" s="345"/>
      <c r="C18" s="345"/>
      <c r="D18" s="345"/>
      <c r="E18" s="345"/>
      <c r="F18" s="345"/>
      <c r="G18" s="345"/>
      <c r="H18" s="345"/>
      <c r="I18" s="345"/>
      <c r="J18" s="345"/>
      <c r="K18" s="345"/>
      <c r="L18" s="345"/>
      <c r="M18" s="345"/>
      <c r="N18" s="345"/>
      <c r="O18" s="345"/>
      <c r="P18" s="345"/>
      <c r="Q18" s="345"/>
      <c r="R18" s="348"/>
    </row>
    <row r="19" spans="1:18" ht="12.75" customHeight="1">
      <c r="A19" s="635" t="s">
        <v>391</v>
      </c>
      <c r="B19" s="636"/>
      <c r="C19" s="636"/>
      <c r="D19" s="636"/>
      <c r="E19" s="636"/>
      <c r="F19" s="636"/>
      <c r="G19" s="636"/>
      <c r="H19" s="636"/>
      <c r="I19" s="636"/>
      <c r="J19" s="636"/>
      <c r="K19" s="636"/>
      <c r="L19" s="636"/>
      <c r="M19" s="636"/>
      <c r="N19" s="636"/>
      <c r="O19" s="636"/>
      <c r="P19" s="637"/>
      <c r="Q19" s="74" t="s">
        <v>354</v>
      </c>
      <c r="R19" s="75">
        <f>+R5</f>
        <v>46230</v>
      </c>
    </row>
    <row r="20" spans="1:18" ht="30" customHeight="1">
      <c r="A20" s="638" t="s">
        <v>355</v>
      </c>
      <c r="B20" s="640" t="s">
        <v>356</v>
      </c>
      <c r="C20" s="640" t="s">
        <v>357</v>
      </c>
      <c r="D20" s="640" t="s">
        <v>358</v>
      </c>
      <c r="E20" s="642" t="s">
        <v>359</v>
      </c>
      <c r="F20" s="643"/>
      <c r="G20" s="642" t="s">
        <v>360</v>
      </c>
      <c r="H20" s="643"/>
      <c r="I20" s="642" t="str">
        <f>+I6</f>
        <v>Progress of Current Month (July'26)</v>
      </c>
      <c r="J20" s="644"/>
      <c r="K20" s="643"/>
      <c r="L20" s="642" t="s">
        <v>361</v>
      </c>
      <c r="M20" s="644"/>
      <c r="N20" s="643"/>
      <c r="O20" s="642" t="s">
        <v>362</v>
      </c>
      <c r="P20" s="644"/>
      <c r="Q20" s="643"/>
      <c r="R20" s="646" t="s">
        <v>363</v>
      </c>
    </row>
    <row r="21" spans="1:18" ht="12.75" customHeight="1">
      <c r="A21" s="639"/>
      <c r="B21" s="641"/>
      <c r="C21" s="641"/>
      <c r="D21" s="641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647"/>
    </row>
    <row r="22" spans="1:18" ht="32.25" customHeight="1">
      <c r="A22" s="77">
        <v>1</v>
      </c>
      <c r="B22" s="341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7">+O22-P22</f>
        <v>0</v>
      </c>
      <c r="R22" s="342"/>
    </row>
    <row r="23" spans="1:18" ht="29.25" customHeight="1">
      <c r="A23" s="77">
        <v>2</v>
      </c>
      <c r="B23" s="341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8">M23-H23</f>
        <v>0</v>
      </c>
      <c r="L23" s="79">
        <v>9</v>
      </c>
      <c r="M23" s="79">
        <v>9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42"/>
    </row>
    <row r="24" spans="1:18" ht="51.6" customHeight="1">
      <c r="A24" s="77">
        <v>3</v>
      </c>
      <c r="B24" s="341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36</v>
      </c>
      <c r="I24" s="83">
        <v>3</v>
      </c>
      <c r="J24" s="81">
        <v>0</v>
      </c>
      <c r="K24" s="84">
        <v>1</v>
      </c>
      <c r="L24" s="79">
        <v>39</v>
      </c>
      <c r="M24" s="81">
        <f>'Progress-132kV'!AF89</f>
        <v>39</v>
      </c>
      <c r="N24" s="79">
        <f>D24-M24</f>
        <v>0</v>
      </c>
      <c r="O24" s="82">
        <v>0</v>
      </c>
      <c r="P24" s="82">
        <v>0</v>
      </c>
      <c r="Q24" s="82">
        <f>O24-P24</f>
        <v>0</v>
      </c>
      <c r="R24" s="559"/>
    </row>
    <row r="25" spans="1:18" ht="22.5" customHeight="1">
      <c r="A25" s="77">
        <v>4</v>
      </c>
      <c r="B25" s="341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36</v>
      </c>
      <c r="H25" s="83">
        <v>34</v>
      </c>
      <c r="I25" s="83">
        <v>5</v>
      </c>
      <c r="J25" s="81">
        <v>0</v>
      </c>
      <c r="K25" s="84">
        <f>M25-H25</f>
        <v>5</v>
      </c>
      <c r="L25" s="79">
        <v>39</v>
      </c>
      <c r="M25" s="81">
        <f>'Progress-132kV'!AL89</f>
        <v>39</v>
      </c>
      <c r="N25" s="79">
        <f t="shared" si="9"/>
        <v>0</v>
      </c>
      <c r="O25" s="82">
        <v>0</v>
      </c>
      <c r="P25" s="82">
        <v>0</v>
      </c>
      <c r="Q25" s="82">
        <v>0</v>
      </c>
      <c r="R25" s="344"/>
    </row>
    <row r="26" spans="1:18" ht="36" customHeight="1">
      <c r="A26" s="77">
        <v>5</v>
      </c>
      <c r="B26" s="341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31</v>
      </c>
      <c r="I26" s="83">
        <v>5</v>
      </c>
      <c r="J26" s="83">
        <v>0</v>
      </c>
      <c r="K26" s="84">
        <f>M26-H26</f>
        <v>4</v>
      </c>
      <c r="L26" s="79">
        <v>39</v>
      </c>
      <c r="M26" s="81">
        <f>'Progress-132kV'!AQ89</f>
        <v>35</v>
      </c>
      <c r="N26" s="79">
        <f t="shared" si="9"/>
        <v>4</v>
      </c>
      <c r="O26" s="82">
        <v>1</v>
      </c>
      <c r="P26" s="78">
        <v>1</v>
      </c>
      <c r="Q26" s="78">
        <f t="shared" ref="Q26" si="10">+O26-P26</f>
        <v>0</v>
      </c>
      <c r="R26" s="649" t="s">
        <v>768</v>
      </c>
    </row>
    <row r="27" spans="1:18" ht="24.75" customHeight="1">
      <c r="A27" s="77">
        <v>6</v>
      </c>
      <c r="B27" s="341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29</v>
      </c>
      <c r="I27" s="81">
        <v>0</v>
      </c>
      <c r="J27" s="81">
        <v>2</v>
      </c>
      <c r="K27" s="79">
        <f>M27-H27</f>
        <v>5</v>
      </c>
      <c r="L27" s="79">
        <v>39</v>
      </c>
      <c r="M27" s="81">
        <f>'Progress-132kV'!AV89</f>
        <v>34</v>
      </c>
      <c r="N27" s="79">
        <f t="shared" si="9"/>
        <v>5</v>
      </c>
      <c r="O27" s="78">
        <v>1</v>
      </c>
      <c r="P27" s="78">
        <v>0</v>
      </c>
      <c r="Q27" s="78">
        <v>0</v>
      </c>
      <c r="R27" s="650"/>
    </row>
    <row r="28" spans="1:18" ht="23.25" customHeight="1">
      <c r="A28" s="77">
        <v>7</v>
      </c>
      <c r="B28" s="341" t="s">
        <v>384</v>
      </c>
      <c r="C28" s="78"/>
      <c r="D28" s="79"/>
      <c r="E28" s="80"/>
      <c r="F28" s="80"/>
      <c r="G28" s="79"/>
      <c r="H28" s="79"/>
      <c r="I28" s="81"/>
      <c r="J28" s="83"/>
      <c r="K28" s="79"/>
      <c r="L28" s="79"/>
      <c r="M28" s="81"/>
      <c r="N28" s="79"/>
      <c r="O28" s="78"/>
      <c r="P28" s="78"/>
      <c r="Q28" s="78"/>
      <c r="R28" s="650"/>
    </row>
    <row r="29" spans="1:18" ht="27" customHeight="1">
      <c r="A29" s="77" t="s">
        <v>385</v>
      </c>
      <c r="B29" s="341" t="s">
        <v>386</v>
      </c>
      <c r="C29" s="78" t="s">
        <v>377</v>
      </c>
      <c r="D29" s="79">
        <v>9.24</v>
      </c>
      <c r="E29" s="80">
        <v>45607</v>
      </c>
      <c r="F29" s="80">
        <v>45777</v>
      </c>
      <c r="G29" s="79">
        <v>9</v>
      </c>
      <c r="H29" s="471">
        <v>6.2309999999999999</v>
      </c>
      <c r="I29" s="476">
        <f>D29-H29</f>
        <v>3.0090000000000003</v>
      </c>
      <c r="J29" s="476">
        <v>0</v>
      </c>
      <c r="K29" s="471">
        <f>M29-H29</f>
        <v>0.74560000000000048</v>
      </c>
      <c r="L29" s="471">
        <v>9</v>
      </c>
      <c r="M29" s="471">
        <f>'Stringing-132KV'!I3</f>
        <v>6.9766000000000004</v>
      </c>
      <c r="N29" s="471">
        <f t="shared" ref="N29:N31" si="11">D29-M29</f>
        <v>2.2633999999999999</v>
      </c>
      <c r="O29" s="634">
        <v>1</v>
      </c>
      <c r="P29" s="634">
        <v>1</v>
      </c>
      <c r="Q29" s="648">
        <f>+O29-P29</f>
        <v>0</v>
      </c>
      <c r="R29" s="650"/>
    </row>
    <row r="30" spans="1:18" ht="33.75" customHeight="1">
      <c r="A30" s="77" t="s">
        <v>387</v>
      </c>
      <c r="B30" s="341" t="s">
        <v>388</v>
      </c>
      <c r="C30" s="78" t="s">
        <v>377</v>
      </c>
      <c r="D30" s="79">
        <v>9.24</v>
      </c>
      <c r="E30" s="80">
        <v>45607</v>
      </c>
      <c r="F30" s="80">
        <v>45777</v>
      </c>
      <c r="G30" s="79">
        <v>9</v>
      </c>
      <c r="H30" s="471">
        <v>6.2309999999999999</v>
      </c>
      <c r="I30" s="476">
        <f>D30-H30</f>
        <v>3.0090000000000003</v>
      </c>
      <c r="J30" s="476">
        <v>0</v>
      </c>
      <c r="K30" s="471">
        <f>M30-H30</f>
        <v>0.74560000000000048</v>
      </c>
      <c r="L30" s="471">
        <v>9</v>
      </c>
      <c r="M30" s="471">
        <f>'Stringing-132KV'!L3</f>
        <v>6.9766000000000004</v>
      </c>
      <c r="N30" s="471">
        <f t="shared" si="11"/>
        <v>2.2633999999999999</v>
      </c>
      <c r="O30" s="645"/>
      <c r="P30" s="645"/>
      <c r="Q30" s="641"/>
      <c r="R30" s="650"/>
    </row>
    <row r="31" spans="1:18" ht="38.25" customHeight="1" thickBot="1">
      <c r="A31" s="92" t="s">
        <v>389</v>
      </c>
      <c r="B31" s="343" t="s">
        <v>390</v>
      </c>
      <c r="C31" s="93" t="s">
        <v>377</v>
      </c>
      <c r="D31" s="94">
        <v>9.24</v>
      </c>
      <c r="E31" s="95">
        <v>45627</v>
      </c>
      <c r="F31" s="95">
        <v>45777</v>
      </c>
      <c r="G31" s="96">
        <v>9</v>
      </c>
      <c r="H31" s="96">
        <v>0</v>
      </c>
      <c r="I31" s="96">
        <f t="shared" ref="I31" si="12">G31-H31</f>
        <v>9</v>
      </c>
      <c r="J31" s="96">
        <v>0</v>
      </c>
      <c r="K31" s="94">
        <f t="shared" si="8"/>
        <v>6.9766000000000004</v>
      </c>
      <c r="L31" s="472">
        <v>9</v>
      </c>
      <c r="M31" s="94">
        <f>'Stringing-132KV'!Y3</f>
        <v>6.9766000000000004</v>
      </c>
      <c r="N31" s="472">
        <f t="shared" si="11"/>
        <v>2.2633999999999999</v>
      </c>
      <c r="O31" s="93">
        <v>1</v>
      </c>
      <c r="P31" s="93">
        <v>0</v>
      </c>
      <c r="Q31" s="93">
        <f>+O31-P31</f>
        <v>1</v>
      </c>
      <c r="R31" s="651"/>
    </row>
  </sheetData>
  <mergeCells count="42">
    <mergeCell ref="O29:O30"/>
    <mergeCell ref="P29:P30"/>
    <mergeCell ref="R20:R21"/>
    <mergeCell ref="Q29:Q30"/>
    <mergeCell ref="R26:R31"/>
    <mergeCell ref="A19:P19"/>
    <mergeCell ref="A20:A21"/>
    <mergeCell ref="B20:B21"/>
    <mergeCell ref="C20:C21"/>
    <mergeCell ref="D20:D21"/>
    <mergeCell ref="E20:F20"/>
    <mergeCell ref="G20:H20"/>
    <mergeCell ref="I20:K20"/>
    <mergeCell ref="L20:N20"/>
    <mergeCell ref="O20:Q20"/>
    <mergeCell ref="R14:R16"/>
    <mergeCell ref="R6:R7"/>
    <mergeCell ref="L6:N6"/>
    <mergeCell ref="O6:Q6"/>
    <mergeCell ref="O10:O11"/>
    <mergeCell ref="P10:P11"/>
    <mergeCell ref="Q10:Q11"/>
    <mergeCell ref="R10:R11"/>
    <mergeCell ref="O15:O16"/>
    <mergeCell ref="P15:P16"/>
    <mergeCell ref="Q15:Q16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A1:R1"/>
    <mergeCell ref="A2:M2"/>
    <mergeCell ref="O2:Q2"/>
    <mergeCell ref="A3:L3"/>
    <mergeCell ref="M3:N3"/>
    <mergeCell ref="O3:Q3"/>
  </mergeCells>
  <conditionalFormatting sqref="R5">
    <cfRule type="cellIs" dxfId="1541" priority="1" operator="equal">
      <formula>"U/P"</formula>
    </cfRule>
    <cfRule type="cellIs" dxfId="1540" priority="2" operator="equal">
      <formula>"C"</formula>
    </cfRule>
  </conditionalFormatting>
  <conditionalFormatting sqref="R19">
    <cfRule type="cellIs" dxfId="1539" priority="3" operator="equal">
      <formula>"U/P"</formula>
    </cfRule>
    <cfRule type="cellIs" dxfId="1538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zoomScale="90" zoomScaleNormal="90"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F41" sqref="F41"/>
    </sheetView>
  </sheetViews>
  <sheetFormatPr defaultColWidth="14.42578125" defaultRowHeight="15" customHeight="1"/>
  <cols>
    <col min="1" max="1" width="24.7109375" customWidth="1"/>
    <col min="2" max="2" width="32.7109375" customWidth="1"/>
    <col min="3" max="3" width="17" customWidth="1"/>
    <col min="4" max="4" width="12" customWidth="1"/>
    <col min="5" max="5" width="13.42578125" customWidth="1"/>
    <col min="6" max="6" width="12.5703125" customWidth="1"/>
    <col min="7" max="7" width="79.42578125" customWidth="1"/>
    <col min="8" max="8" width="26" customWidth="1"/>
    <col min="9" max="9" width="20.140625" customWidth="1"/>
    <col min="10" max="10" width="11.5703125" customWidth="1"/>
    <col min="11" max="11" width="11" customWidth="1"/>
    <col min="12" max="12" width="17.140625" customWidth="1"/>
    <col min="13" max="13" width="14.5703125" customWidth="1"/>
    <col min="14" max="14" width="16.28515625" customWidth="1"/>
    <col min="15" max="15" width="17.42578125" customWidth="1"/>
    <col min="16" max="16" width="14.140625" customWidth="1"/>
    <col min="17" max="17" width="18.7109375" customWidth="1"/>
    <col min="18" max="18" width="13" customWidth="1"/>
    <col min="19" max="19" width="27.85546875" customWidth="1"/>
    <col min="20" max="26" width="8.7109375" customWidth="1"/>
  </cols>
  <sheetData>
    <row r="1" spans="1:19" ht="14.25" customHeight="1">
      <c r="A1" s="652" t="str">
        <f>+Summary!A2</f>
        <v>Name of the Line: 220KV DC AL59 line from Neemuch - Chanderiya + 132KV DC ACSS Line from Chanderiya to Hindustan Zinc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2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653" t="s">
        <v>410</v>
      </c>
      <c r="B3" s="591"/>
      <c r="C3" s="591"/>
      <c r="D3" s="591"/>
      <c r="E3" s="591"/>
      <c r="F3" s="591"/>
      <c r="G3" s="591"/>
      <c r="H3" s="591"/>
      <c r="I3" s="591"/>
      <c r="J3" s="591"/>
      <c r="K3" s="591"/>
      <c r="L3" s="591"/>
      <c r="M3" s="591"/>
      <c r="N3" s="591"/>
      <c r="O3" s="591"/>
      <c r="P3" s="591"/>
      <c r="Q3" s="591"/>
      <c r="R3" s="591"/>
      <c r="S3" s="592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653" t="s">
        <v>437</v>
      </c>
      <c r="B11" s="591"/>
      <c r="C11" s="591"/>
      <c r="D11" s="591"/>
      <c r="E11" s="591"/>
      <c r="F11" s="591"/>
      <c r="G11" s="591"/>
      <c r="H11" s="591"/>
      <c r="I11" s="591"/>
      <c r="J11" s="591"/>
      <c r="K11" s="591"/>
      <c r="L11" s="591"/>
      <c r="M11" s="591"/>
      <c r="N11" s="591"/>
      <c r="O11" s="591"/>
      <c r="P11" s="591"/>
      <c r="Q11" s="591"/>
      <c r="R11" s="591"/>
      <c r="S11" s="592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/>
    <row r="22" spans="1:19" ht="14.25" customHeight="1">
      <c r="A22" s="560" t="s">
        <v>393</v>
      </c>
      <c r="B22" s="561" t="s">
        <v>394</v>
      </c>
      <c r="C22" s="560" t="s">
        <v>395</v>
      </c>
      <c r="D22" s="560" t="s">
        <v>459</v>
      </c>
      <c r="E22" s="560" t="s">
        <v>460</v>
      </c>
      <c r="F22" s="560" t="s">
        <v>461</v>
      </c>
      <c r="G22" s="560" t="s">
        <v>15</v>
      </c>
    </row>
    <row r="23" spans="1:19" ht="14.25" customHeight="1">
      <c r="A23" s="566" t="s">
        <v>411</v>
      </c>
      <c r="B23" s="566" t="s">
        <v>412</v>
      </c>
      <c r="C23" s="566" t="s">
        <v>413</v>
      </c>
      <c r="D23" s="566" t="s">
        <v>414</v>
      </c>
      <c r="E23" s="566"/>
      <c r="F23" s="567">
        <v>45654</v>
      </c>
      <c r="G23" s="566" t="s">
        <v>462</v>
      </c>
    </row>
    <row r="24" spans="1:19" ht="14.25" customHeight="1">
      <c r="A24" s="566" t="s">
        <v>411</v>
      </c>
      <c r="B24" s="566" t="s">
        <v>412</v>
      </c>
      <c r="C24" s="566" t="s">
        <v>413</v>
      </c>
      <c r="D24" s="566" t="s">
        <v>417</v>
      </c>
      <c r="E24" s="566"/>
      <c r="F24" s="567">
        <v>45586</v>
      </c>
      <c r="G24" s="566" t="s">
        <v>462</v>
      </c>
    </row>
    <row r="25" spans="1:19" ht="14.25" customHeight="1">
      <c r="A25" s="566" t="s">
        <v>419</v>
      </c>
      <c r="B25" s="566" t="s">
        <v>420</v>
      </c>
      <c r="C25" s="566" t="s">
        <v>421</v>
      </c>
      <c r="D25" s="566" t="s">
        <v>423</v>
      </c>
      <c r="E25" s="566" t="s">
        <v>463</v>
      </c>
      <c r="F25" s="566"/>
      <c r="G25" s="566" t="s">
        <v>462</v>
      </c>
    </row>
    <row r="26" spans="1:19" ht="14.25" customHeight="1">
      <c r="A26" s="566" t="s">
        <v>426</v>
      </c>
      <c r="B26" s="566" t="s">
        <v>420</v>
      </c>
      <c r="C26" s="566" t="s">
        <v>421</v>
      </c>
      <c r="D26" s="566" t="s">
        <v>427</v>
      </c>
      <c r="E26" s="566" t="s">
        <v>463</v>
      </c>
      <c r="F26" s="566"/>
      <c r="G26" s="566" t="s">
        <v>462</v>
      </c>
    </row>
    <row r="27" spans="1:19" ht="14.25" customHeight="1">
      <c r="A27" s="566" t="s">
        <v>430</v>
      </c>
      <c r="B27" s="566" t="s">
        <v>420</v>
      </c>
      <c r="C27" s="566" t="s">
        <v>421</v>
      </c>
      <c r="D27" s="566" t="s">
        <v>431</v>
      </c>
      <c r="E27" s="566" t="s">
        <v>463</v>
      </c>
      <c r="F27" s="566"/>
      <c r="G27" s="566" t="s">
        <v>462</v>
      </c>
    </row>
    <row r="28" spans="1:19" ht="14.25" customHeight="1">
      <c r="A28" s="566" t="s">
        <v>701</v>
      </c>
      <c r="B28" s="566" t="s">
        <v>420</v>
      </c>
      <c r="C28" s="566" t="s">
        <v>421</v>
      </c>
      <c r="D28" s="566" t="s">
        <v>703</v>
      </c>
      <c r="E28" s="566"/>
      <c r="F28" s="566"/>
      <c r="G28" s="566" t="s">
        <v>462</v>
      </c>
    </row>
    <row r="29" spans="1:19" ht="14.25" customHeight="1">
      <c r="A29" s="566" t="s">
        <v>702</v>
      </c>
      <c r="B29" s="566" t="s">
        <v>420</v>
      </c>
      <c r="C29" s="566" t="s">
        <v>421</v>
      </c>
      <c r="D29" s="566" t="s">
        <v>704</v>
      </c>
      <c r="E29" s="566"/>
      <c r="F29" s="566"/>
      <c r="G29" s="566" t="s">
        <v>462</v>
      </c>
    </row>
    <row r="30" spans="1:19" ht="14.25" customHeight="1">
      <c r="A30" s="107"/>
    </row>
    <row r="31" spans="1:19" ht="14.25" customHeight="1">
      <c r="A31" s="107" t="s">
        <v>464</v>
      </c>
    </row>
    <row r="32" spans="1:19" ht="14.25" customHeight="1">
      <c r="A32" s="107"/>
    </row>
    <row r="33" spans="1:7" ht="14.25" customHeight="1">
      <c r="A33" s="560" t="s">
        <v>393</v>
      </c>
      <c r="B33" s="561" t="s">
        <v>394</v>
      </c>
      <c r="C33" s="560" t="s">
        <v>395</v>
      </c>
      <c r="D33" s="560" t="s">
        <v>459</v>
      </c>
      <c r="E33" s="560" t="s">
        <v>460</v>
      </c>
      <c r="F33" s="560" t="s">
        <v>461</v>
      </c>
      <c r="G33" s="560" t="s">
        <v>15</v>
      </c>
    </row>
    <row r="34" spans="1:7" ht="14.25" customHeight="1">
      <c r="A34" s="562" t="s">
        <v>448</v>
      </c>
      <c r="B34" s="563" t="s">
        <v>421</v>
      </c>
      <c r="C34" s="564"/>
      <c r="D34" s="563" t="s">
        <v>705</v>
      </c>
      <c r="E34" s="565">
        <v>45667</v>
      </c>
      <c r="F34" s="565">
        <v>45667</v>
      </c>
      <c r="G34" s="566" t="s">
        <v>462</v>
      </c>
    </row>
    <row r="35" spans="1:7" ht="14.25" customHeight="1">
      <c r="A35" s="562" t="s">
        <v>451</v>
      </c>
      <c r="B35" s="563" t="s">
        <v>452</v>
      </c>
      <c r="C35" s="564"/>
      <c r="D35" s="563" t="s">
        <v>453</v>
      </c>
      <c r="E35" s="565">
        <v>45659</v>
      </c>
      <c r="F35" s="565">
        <v>45666</v>
      </c>
      <c r="G35" s="566" t="s">
        <v>462</v>
      </c>
    </row>
    <row r="36" spans="1:7" ht="14.25" customHeight="1">
      <c r="A36" s="562" t="s">
        <v>419</v>
      </c>
      <c r="B36" s="563" t="s">
        <v>421</v>
      </c>
      <c r="C36" s="564"/>
      <c r="D36" s="563" t="s">
        <v>455</v>
      </c>
      <c r="E36" s="564"/>
      <c r="F36" s="565">
        <v>45648</v>
      </c>
      <c r="G36" s="566" t="s">
        <v>462</v>
      </c>
    </row>
    <row r="37" spans="1:7" ht="14.25" customHeight="1">
      <c r="A37" s="562" t="s">
        <v>465</v>
      </c>
      <c r="B37" s="563" t="s">
        <v>421</v>
      </c>
      <c r="C37" s="564"/>
      <c r="D37" s="563" t="s">
        <v>466</v>
      </c>
      <c r="E37" s="565">
        <v>45637</v>
      </c>
      <c r="F37" s="564"/>
      <c r="G37" s="566" t="s">
        <v>462</v>
      </c>
    </row>
    <row r="38" spans="1:7" ht="14.25" customHeight="1">
      <c r="A38" s="566" t="s">
        <v>411</v>
      </c>
      <c r="B38" s="566" t="s">
        <v>412</v>
      </c>
      <c r="C38" s="566" t="s">
        <v>413</v>
      </c>
      <c r="D38" s="566" t="s">
        <v>457</v>
      </c>
      <c r="E38" s="566"/>
      <c r="F38" s="567"/>
      <c r="G38" s="566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3"/>
  <sheetViews>
    <sheetView zoomScale="84" zoomScaleNormal="55" workbookViewId="0">
      <pane xSplit="3" ySplit="5" topLeftCell="AG6" activePane="bottomRight" state="frozen"/>
      <selection pane="topRight" activeCell="D1" sqref="D1"/>
      <selection pane="bottomLeft" activeCell="A6" sqref="A6"/>
      <selection pane="bottomRight" activeCell="AS14" sqref="AS14"/>
    </sheetView>
  </sheetViews>
  <sheetFormatPr defaultColWidth="14.42578125" defaultRowHeight="15" customHeight="1"/>
  <cols>
    <col min="1" max="1" width="4.5703125" style="346" customWidth="1"/>
    <col min="2" max="2" width="8.7109375" style="346" customWidth="1"/>
    <col min="3" max="3" width="16.5703125" style="346" customWidth="1"/>
    <col min="4" max="14" width="14.5703125" style="346" customWidth="1"/>
    <col min="15" max="17" width="4.28515625" style="346" customWidth="1"/>
    <col min="18" max="18" width="3.42578125" style="346" customWidth="1"/>
    <col min="19" max="19" width="10.5703125" style="346" customWidth="1"/>
    <col min="20" max="25" width="10.42578125" style="346" customWidth="1"/>
    <col min="26" max="29" width="11.42578125" style="346" customWidth="1"/>
    <col min="30" max="30" width="11" style="346" customWidth="1"/>
    <col min="31" max="31" width="10.42578125" style="346" customWidth="1"/>
    <col min="32" max="32" width="8.28515625" style="346" customWidth="1"/>
    <col min="33" max="36" width="10.42578125" style="346" customWidth="1"/>
    <col min="37" max="37" width="30.5703125" style="346" customWidth="1"/>
    <col min="38" max="38" width="9.140625" customWidth="1"/>
    <col min="39" max="39" width="5.28515625" style="376" customWidth="1"/>
    <col min="40" max="41" width="10.42578125" customWidth="1"/>
    <col min="42" max="42" width="20.28515625" customWidth="1"/>
    <col min="43" max="43" width="9.140625" style="346" customWidth="1"/>
    <col min="44" max="45" width="10.42578125" style="346" customWidth="1"/>
    <col min="46" max="46" width="20.28515625" style="346" customWidth="1"/>
    <col min="47" max="47" width="15.28515625" style="346" customWidth="1"/>
    <col min="48" max="48" width="8.5703125" style="346" customWidth="1"/>
    <col min="49" max="51" width="10.5703125" style="346" customWidth="1"/>
    <col min="52" max="52" width="15.7109375" style="346" customWidth="1"/>
    <col min="53" max="53" width="18.85546875" style="346" customWidth="1"/>
    <col min="54" max="16384" width="14.42578125" style="346"/>
  </cols>
  <sheetData>
    <row r="1" spans="1:53" ht="14.25" customHeight="1">
      <c r="A1" s="590" t="str">
        <f>+Summary!A2</f>
        <v>Name of the Line: 220KV DC AL59 line from Neemuch - Chanderiya + 132KV DC ACSS Line from Chanderiya to Hindustan Zinc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5"/>
      <c r="P1" s="655"/>
      <c r="Q1" s="655"/>
      <c r="R1" s="655"/>
      <c r="S1" s="655"/>
      <c r="T1" s="655"/>
      <c r="U1" s="655"/>
      <c r="V1" s="655"/>
      <c r="W1" s="655"/>
      <c r="X1" s="655"/>
      <c r="Y1" s="655"/>
      <c r="Z1" s="655"/>
      <c r="AA1" s="655"/>
      <c r="AB1" s="655"/>
      <c r="AC1" s="655"/>
      <c r="AD1" s="655"/>
      <c r="AE1" s="655"/>
      <c r="AF1" s="655"/>
      <c r="AG1" s="655"/>
      <c r="AH1" s="655"/>
      <c r="AI1" s="655"/>
      <c r="AJ1" s="655"/>
      <c r="AK1" s="655"/>
      <c r="AL1" s="591"/>
      <c r="AM1" s="591"/>
      <c r="AN1" s="591"/>
      <c r="AO1" s="591"/>
      <c r="AP1" s="591"/>
      <c r="AQ1" s="655"/>
      <c r="AR1" s="655"/>
      <c r="AS1" s="655"/>
      <c r="AT1" s="655"/>
      <c r="AU1" s="655"/>
      <c r="AV1" s="655"/>
      <c r="AW1" s="655"/>
      <c r="AX1" s="655"/>
      <c r="AY1" s="655"/>
      <c r="AZ1" s="655"/>
      <c r="BA1" s="654"/>
    </row>
    <row r="2" spans="1:53" ht="14.25" customHeight="1">
      <c r="A2" s="590" t="str">
        <f>+Summary!A5</f>
        <v>Progress of 220kV Line</v>
      </c>
      <c r="B2" s="655"/>
      <c r="C2" s="655"/>
      <c r="D2" s="655"/>
      <c r="E2" s="655"/>
      <c r="F2" s="655"/>
      <c r="G2" s="655"/>
      <c r="H2" s="655"/>
      <c r="I2" s="655"/>
      <c r="J2" s="655"/>
      <c r="K2" s="655"/>
      <c r="L2" s="655"/>
      <c r="M2" s="655"/>
      <c r="N2" s="655"/>
      <c r="O2" s="655"/>
      <c r="P2" s="655"/>
      <c r="Q2" s="655"/>
      <c r="R2" s="655"/>
      <c r="S2" s="655"/>
      <c r="T2" s="655"/>
      <c r="U2" s="655"/>
      <c r="V2" s="655"/>
      <c r="W2" s="655"/>
      <c r="X2" s="655"/>
      <c r="Y2" s="655"/>
      <c r="Z2" s="655"/>
      <c r="AA2" s="655"/>
      <c r="AB2" s="655"/>
      <c r="AC2" s="655"/>
      <c r="AD2" s="655"/>
      <c r="AE2" s="655"/>
      <c r="AF2" s="655"/>
      <c r="AG2" s="655"/>
      <c r="AH2" s="655"/>
      <c r="AI2" s="655"/>
      <c r="AJ2" s="655"/>
      <c r="AK2" s="655"/>
      <c r="AL2" s="591"/>
      <c r="AM2" s="591"/>
      <c r="AN2" s="591"/>
      <c r="AO2" s="591"/>
      <c r="AP2" s="591"/>
      <c r="AQ2" s="655"/>
      <c r="AR2" s="655"/>
      <c r="AS2" s="655"/>
      <c r="AT2" s="655"/>
      <c r="AU2" s="655"/>
      <c r="AV2" s="655"/>
      <c r="AW2" s="655"/>
      <c r="AX2" s="655"/>
      <c r="AY2" s="655"/>
      <c r="AZ2" s="655"/>
      <c r="BA2" s="654"/>
    </row>
    <row r="3" spans="1:53" ht="23.1" customHeight="1">
      <c r="A3" s="590" t="s">
        <v>467</v>
      </c>
      <c r="B3" s="655"/>
      <c r="C3" s="655"/>
      <c r="D3" s="655"/>
      <c r="E3" s="655"/>
      <c r="F3" s="655"/>
      <c r="G3" s="655"/>
      <c r="H3" s="655"/>
      <c r="I3" s="655"/>
      <c r="J3" s="655"/>
      <c r="K3" s="655"/>
      <c r="L3" s="655"/>
      <c r="M3" s="655"/>
      <c r="N3" s="655"/>
      <c r="O3" s="655"/>
      <c r="P3" s="655"/>
      <c r="Q3" s="655"/>
      <c r="R3" s="655"/>
      <c r="S3" s="654"/>
      <c r="T3" s="590" t="s">
        <v>379</v>
      </c>
      <c r="U3" s="655"/>
      <c r="V3" s="655"/>
      <c r="W3" s="655"/>
      <c r="X3" s="655"/>
      <c r="Y3" s="655"/>
      <c r="Z3" s="655"/>
      <c r="AA3" s="655"/>
      <c r="AB3" s="655"/>
      <c r="AC3" s="655"/>
      <c r="AD3" s="655"/>
      <c r="AE3" s="655"/>
      <c r="AF3" s="655"/>
      <c r="AG3" s="655"/>
      <c r="AH3" s="655"/>
      <c r="AI3" s="655"/>
      <c r="AJ3" s="655"/>
      <c r="AK3" s="654"/>
      <c r="AL3" s="590" t="s">
        <v>381</v>
      </c>
      <c r="AM3" s="591"/>
      <c r="AN3" s="591"/>
      <c r="AO3" s="591"/>
      <c r="AP3" s="592"/>
      <c r="AQ3" s="590" t="s">
        <v>468</v>
      </c>
      <c r="AR3" s="655"/>
      <c r="AS3" s="655"/>
      <c r="AT3" s="654"/>
      <c r="AU3" s="55" t="s">
        <v>469</v>
      </c>
      <c r="AV3" s="590" t="s">
        <v>470</v>
      </c>
      <c r="AW3" s="655"/>
      <c r="AX3" s="655"/>
      <c r="AY3" s="655"/>
      <c r="AZ3" s="654"/>
      <c r="BA3" s="55" t="s">
        <v>471</v>
      </c>
    </row>
    <row r="4" spans="1:53" ht="24" customHeight="1">
      <c r="A4" s="2" t="s">
        <v>2</v>
      </c>
      <c r="B4" s="2" t="s">
        <v>3</v>
      </c>
      <c r="C4" s="2" t="s">
        <v>399</v>
      </c>
      <c r="D4" s="110"/>
      <c r="E4" s="110"/>
      <c r="F4" s="110"/>
      <c r="G4" s="656" t="s">
        <v>472</v>
      </c>
      <c r="H4" s="657"/>
      <c r="I4" s="657"/>
      <c r="J4" s="658"/>
      <c r="K4" s="656" t="s">
        <v>473</v>
      </c>
      <c r="L4" s="657"/>
      <c r="M4" s="657"/>
      <c r="N4" s="658"/>
      <c r="O4" s="659" t="s">
        <v>9</v>
      </c>
      <c r="P4" s="655"/>
      <c r="Q4" s="655"/>
      <c r="R4" s="654"/>
      <c r="S4" s="111" t="s">
        <v>474</v>
      </c>
      <c r="T4" s="55" t="s">
        <v>475</v>
      </c>
      <c r="U4" s="2" t="s">
        <v>476</v>
      </c>
      <c r="V4" s="590" t="s">
        <v>477</v>
      </c>
      <c r="W4" s="655"/>
      <c r="X4" s="654"/>
      <c r="Y4" s="112" t="s">
        <v>478</v>
      </c>
      <c r="Z4" s="112" t="s">
        <v>479</v>
      </c>
      <c r="AA4" s="112" t="s">
        <v>480</v>
      </c>
      <c r="AB4" s="112" t="s">
        <v>481</v>
      </c>
      <c r="AC4" s="112" t="s">
        <v>482</v>
      </c>
      <c r="AD4" s="112" t="s">
        <v>483</v>
      </c>
      <c r="AE4" s="113" t="s">
        <v>484</v>
      </c>
      <c r="AF4" s="55" t="s">
        <v>485</v>
      </c>
      <c r="AG4" s="660" t="s">
        <v>486</v>
      </c>
      <c r="AH4" s="654"/>
      <c r="AI4" s="590" t="s">
        <v>487</v>
      </c>
      <c r="AJ4" s="654"/>
      <c r="AK4" s="55" t="s">
        <v>488</v>
      </c>
      <c r="AL4" s="55" t="s">
        <v>489</v>
      </c>
      <c r="AM4" s="55" t="s">
        <v>490</v>
      </c>
      <c r="AN4" s="6" t="s">
        <v>491</v>
      </c>
      <c r="AO4" s="6" t="s">
        <v>23</v>
      </c>
      <c r="AP4" s="55" t="s">
        <v>488</v>
      </c>
      <c r="AQ4" s="55" t="s">
        <v>489</v>
      </c>
      <c r="AR4" s="6" t="s">
        <v>491</v>
      </c>
      <c r="AS4" s="6" t="s">
        <v>23</v>
      </c>
      <c r="AT4" s="55" t="s">
        <v>488</v>
      </c>
      <c r="AU4" s="113"/>
      <c r="AV4" s="55" t="s">
        <v>489</v>
      </c>
      <c r="AW4" s="6" t="s">
        <v>491</v>
      </c>
      <c r="AX4" s="6" t="s">
        <v>23</v>
      </c>
      <c r="AY4" s="114" t="s">
        <v>492</v>
      </c>
      <c r="AZ4" s="55" t="s">
        <v>488</v>
      </c>
      <c r="BA4" s="113"/>
    </row>
    <row r="5" spans="1:53" ht="14.25" customHeight="1">
      <c r="A5" s="2"/>
      <c r="B5" s="2"/>
      <c r="C5" s="2"/>
      <c r="D5" s="115"/>
      <c r="E5" s="115"/>
      <c r="F5" s="115"/>
      <c r="G5" s="116" t="s">
        <v>493</v>
      </c>
      <c r="H5" s="2" t="s">
        <v>494</v>
      </c>
      <c r="I5" s="2" t="s">
        <v>495</v>
      </c>
      <c r="J5" s="117" t="s">
        <v>496</v>
      </c>
      <c r="K5" s="116" t="s">
        <v>493</v>
      </c>
      <c r="L5" s="115" t="s">
        <v>494</v>
      </c>
      <c r="M5" s="2" t="s">
        <v>495</v>
      </c>
      <c r="N5" s="117" t="s">
        <v>496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18"/>
      <c r="U5" s="55"/>
      <c r="V5" s="55" t="s">
        <v>497</v>
      </c>
      <c r="W5" s="55" t="s">
        <v>498</v>
      </c>
      <c r="X5" s="55" t="s">
        <v>496</v>
      </c>
      <c r="Y5" s="113"/>
      <c r="Z5" s="113"/>
      <c r="AA5" s="113"/>
      <c r="AB5" s="113"/>
      <c r="AC5" s="113"/>
      <c r="AD5" s="113"/>
      <c r="AE5" s="118"/>
      <c r="AF5" s="118"/>
      <c r="AG5" s="6" t="s">
        <v>491</v>
      </c>
      <c r="AH5" s="6" t="s">
        <v>23</v>
      </c>
      <c r="AI5" s="6" t="s">
        <v>491</v>
      </c>
      <c r="AJ5" s="6" t="s">
        <v>23</v>
      </c>
      <c r="AK5" s="118"/>
      <c r="AL5" s="118"/>
      <c r="AM5" s="118"/>
      <c r="AN5" s="6"/>
      <c r="AO5" s="6"/>
      <c r="AP5" s="118"/>
      <c r="AQ5" s="118"/>
      <c r="AR5" s="6"/>
      <c r="AS5" s="6"/>
      <c r="AT5" s="118"/>
      <c r="AU5" s="118"/>
      <c r="AV5" s="118"/>
      <c r="AW5" s="6"/>
      <c r="AX5" s="6"/>
      <c r="AY5" s="119"/>
      <c r="AZ5" s="118"/>
      <c r="BA5" s="118"/>
    </row>
    <row r="6" spans="1:53" ht="14.25" customHeight="1">
      <c r="A6" s="2"/>
      <c r="B6" s="482" t="s">
        <v>708</v>
      </c>
      <c r="C6" s="483"/>
      <c r="D6" s="115"/>
      <c r="E6" s="115"/>
      <c r="F6" s="115"/>
      <c r="G6" s="115"/>
      <c r="H6" s="2"/>
      <c r="I6" s="2"/>
      <c r="J6" s="377"/>
      <c r="K6" s="115"/>
      <c r="L6" s="115"/>
      <c r="M6" s="2"/>
      <c r="N6" s="377"/>
      <c r="O6" s="6"/>
      <c r="P6" s="6"/>
      <c r="Q6" s="6"/>
      <c r="R6" s="6"/>
      <c r="S6" s="8"/>
      <c r="T6" s="378"/>
      <c r="U6" s="379"/>
      <c r="V6" s="379"/>
      <c r="W6" s="379"/>
      <c r="X6" s="379"/>
      <c r="Y6" s="380"/>
      <c r="Z6" s="380"/>
      <c r="AA6" s="380"/>
      <c r="AB6" s="380"/>
      <c r="AC6" s="380"/>
      <c r="AD6" s="380"/>
      <c r="AE6" s="378"/>
      <c r="AF6" s="378"/>
      <c r="AG6" s="6"/>
      <c r="AH6" s="6"/>
      <c r="AI6" s="6"/>
      <c r="AJ6" s="6"/>
      <c r="AK6" s="378"/>
      <c r="AL6" s="378"/>
      <c r="AM6" s="378"/>
      <c r="AN6" s="6"/>
      <c r="AO6" s="6"/>
      <c r="AP6" s="378"/>
      <c r="AQ6" s="378"/>
      <c r="AR6" s="6"/>
      <c r="AS6" s="6"/>
      <c r="AT6" s="378"/>
      <c r="AU6" s="378"/>
      <c r="AV6" s="378"/>
      <c r="AW6" s="6"/>
      <c r="AX6" s="6"/>
      <c r="AY6" s="381"/>
      <c r="AZ6" s="378"/>
      <c r="BA6" s="378"/>
    </row>
    <row r="7" spans="1:53" ht="14.25" customHeight="1">
      <c r="A7" s="2"/>
      <c r="B7" s="482"/>
      <c r="C7" s="483"/>
      <c r="D7" s="115"/>
      <c r="E7" s="115"/>
      <c r="F7" s="115"/>
      <c r="G7" s="115"/>
      <c r="H7" s="2"/>
      <c r="I7" s="2"/>
      <c r="J7" s="377"/>
      <c r="K7" s="115"/>
      <c r="L7" s="115"/>
      <c r="M7" s="2"/>
      <c r="N7" s="377"/>
      <c r="O7" s="6"/>
      <c r="P7" s="6"/>
      <c r="Q7" s="6"/>
      <c r="R7" s="6"/>
      <c r="S7" s="8"/>
      <c r="T7" s="378"/>
      <c r="U7" s="379"/>
      <c r="V7" s="379"/>
      <c r="W7" s="379"/>
      <c r="X7" s="379"/>
      <c r="Y7" s="380"/>
      <c r="Z7" s="380"/>
      <c r="AA7" s="380"/>
      <c r="AB7" s="380"/>
      <c r="AC7" s="380"/>
      <c r="AD7" s="380"/>
      <c r="AE7" s="378"/>
      <c r="AF7" s="378"/>
      <c r="AG7" s="6"/>
      <c r="AH7" s="6"/>
      <c r="AI7" s="6"/>
      <c r="AJ7" s="6"/>
      <c r="AK7" s="378"/>
      <c r="AL7" s="378"/>
      <c r="AM7" s="378"/>
      <c r="AN7" s="6"/>
      <c r="AO7" s="6"/>
      <c r="AP7" s="378"/>
      <c r="AQ7" s="378"/>
      <c r="AR7" s="6"/>
      <c r="AS7" s="6"/>
      <c r="AT7" s="378"/>
      <c r="AU7" s="378"/>
      <c r="AV7" s="378"/>
      <c r="AW7" s="6"/>
      <c r="AX7" s="6"/>
      <c r="AY7" s="381"/>
      <c r="AZ7" s="378"/>
      <c r="BA7" s="378"/>
    </row>
    <row r="8" spans="1:53" ht="14.25" customHeight="1">
      <c r="A8" s="2"/>
      <c r="B8" s="482" t="s">
        <v>759</v>
      </c>
      <c r="C8" s="483" t="s">
        <v>710</v>
      </c>
      <c r="D8" s="115"/>
      <c r="E8" s="115"/>
      <c r="F8" s="115"/>
      <c r="G8" s="115"/>
      <c r="H8" s="2"/>
      <c r="I8" s="2"/>
      <c r="J8" s="377"/>
      <c r="K8" s="115"/>
      <c r="L8" s="115"/>
      <c r="M8" s="2"/>
      <c r="N8" s="377"/>
      <c r="O8" s="6"/>
      <c r="P8" s="6"/>
      <c r="Q8" s="6"/>
      <c r="R8" s="6"/>
      <c r="S8" s="8"/>
      <c r="T8" s="378"/>
      <c r="U8" s="379"/>
      <c r="V8" s="379"/>
      <c r="W8" s="379"/>
      <c r="X8" s="379"/>
      <c r="Y8" s="380"/>
      <c r="Z8" s="380"/>
      <c r="AA8" s="380"/>
      <c r="AB8" s="380"/>
      <c r="AC8" s="380"/>
      <c r="AD8" s="380"/>
      <c r="AE8" s="378"/>
      <c r="AF8" s="127" t="s">
        <v>20</v>
      </c>
      <c r="AG8" s="6"/>
      <c r="AH8" s="6"/>
      <c r="AI8" s="6"/>
      <c r="AJ8" s="6"/>
      <c r="AK8" s="378"/>
      <c r="AL8" s="127" t="s">
        <v>20</v>
      </c>
      <c r="AM8" s="15" t="s">
        <v>6</v>
      </c>
      <c r="AN8" s="6"/>
      <c r="AO8" s="6"/>
      <c r="AP8" s="378"/>
      <c r="AQ8" s="378"/>
      <c r="AR8" s="6"/>
      <c r="AS8" s="6"/>
      <c r="AT8" s="378"/>
      <c r="AU8" s="378"/>
      <c r="AV8" s="378"/>
      <c r="AW8" s="6"/>
      <c r="AX8" s="6"/>
      <c r="AY8" s="381"/>
      <c r="AZ8" s="378"/>
      <c r="BA8" s="378"/>
    </row>
    <row r="9" spans="1:53" ht="14.25" customHeight="1">
      <c r="A9" s="2"/>
      <c r="B9" s="483"/>
      <c r="C9" s="483"/>
      <c r="D9" s="115"/>
      <c r="E9" s="115"/>
      <c r="F9" s="115"/>
      <c r="G9" s="115"/>
      <c r="H9" s="2"/>
      <c r="I9" s="2"/>
      <c r="J9" s="377"/>
      <c r="K9" s="115"/>
      <c r="L9" s="115"/>
      <c r="M9" s="2"/>
      <c r="N9" s="377"/>
      <c r="O9" s="6"/>
      <c r="P9" s="6"/>
      <c r="Q9" s="6"/>
      <c r="R9" s="6"/>
      <c r="S9" s="8"/>
      <c r="T9" s="378"/>
      <c r="U9" s="379"/>
      <c r="V9" s="379"/>
      <c r="W9" s="379"/>
      <c r="X9" s="379"/>
      <c r="Y9" s="380"/>
      <c r="Z9" s="380"/>
      <c r="AA9" s="380"/>
      <c r="AB9" s="380"/>
      <c r="AC9" s="380"/>
      <c r="AD9" s="380"/>
      <c r="AE9" s="378"/>
      <c r="AF9" s="378"/>
      <c r="AG9" s="6"/>
      <c r="AH9" s="6"/>
      <c r="AI9" s="6"/>
      <c r="AJ9" s="6"/>
      <c r="AK9" s="378"/>
      <c r="AL9" s="378"/>
      <c r="AM9" s="378"/>
      <c r="AN9" s="6"/>
      <c r="AO9" s="6"/>
      <c r="AP9" s="378"/>
      <c r="AQ9" s="378"/>
      <c r="AR9" s="6"/>
      <c r="AS9" s="6"/>
      <c r="AT9" s="378"/>
      <c r="AU9" s="378"/>
      <c r="AV9" s="378"/>
      <c r="AW9" s="6"/>
      <c r="AX9" s="6"/>
      <c r="AY9" s="381"/>
      <c r="AZ9" s="378"/>
      <c r="BA9" s="378"/>
    </row>
    <row r="10" spans="1:53" ht="14.25" customHeight="1">
      <c r="A10" s="2">
        <v>1</v>
      </c>
      <c r="B10" s="482" t="s">
        <v>709</v>
      </c>
      <c r="C10" s="483" t="s">
        <v>712</v>
      </c>
      <c r="D10" s="162">
        <v>11.987</v>
      </c>
      <c r="E10" s="162">
        <f>D10*4</f>
        <v>47.948</v>
      </c>
      <c r="F10" s="162">
        <f>E10*8</f>
        <v>383.584</v>
      </c>
      <c r="G10" s="16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65">
        <f t="shared" ref="K10" si="0">SUM(G10:J10)</f>
        <v>12.502699999999999</v>
      </c>
      <c r="L10" s="163">
        <v>0.55700000000000005</v>
      </c>
      <c r="M10" s="15">
        <v>0.01</v>
      </c>
      <c r="N10" s="165">
        <f>SUM(L10:M10)</f>
        <v>0.56700000000000006</v>
      </c>
      <c r="O10" s="6"/>
      <c r="P10" s="6"/>
      <c r="Q10" s="6"/>
      <c r="R10" s="6"/>
      <c r="S10" s="8"/>
      <c r="T10" s="15" t="s">
        <v>499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27" t="s">
        <v>20</v>
      </c>
      <c r="AG10" s="15"/>
      <c r="AH10" s="15"/>
      <c r="AI10" s="6"/>
      <c r="AJ10" s="6"/>
      <c r="AK10" s="378"/>
      <c r="AL10" s="127" t="s">
        <v>20</v>
      </c>
      <c r="AM10" s="15" t="s">
        <v>6</v>
      </c>
      <c r="AN10" s="6"/>
      <c r="AO10" s="6"/>
      <c r="AP10" s="378"/>
      <c r="AQ10" s="378"/>
      <c r="AR10" s="6"/>
      <c r="AS10" s="6"/>
      <c r="AT10" s="378"/>
      <c r="AU10" s="378"/>
      <c r="AV10" s="378"/>
      <c r="AW10" s="6"/>
      <c r="AX10" s="6"/>
      <c r="AY10" s="381"/>
      <c r="AZ10" s="378"/>
      <c r="BA10" s="378"/>
    </row>
    <row r="11" spans="1:53" ht="14.25" customHeight="1">
      <c r="A11" s="2"/>
      <c r="B11" s="483"/>
      <c r="C11" s="483"/>
      <c r="D11" s="115"/>
      <c r="E11" s="115"/>
      <c r="F11" s="115"/>
      <c r="G11" s="115"/>
      <c r="H11" s="2"/>
      <c r="I11" s="2"/>
      <c r="J11" s="377"/>
      <c r="K11" s="115"/>
      <c r="L11" s="115"/>
      <c r="M11" s="2"/>
      <c r="N11" s="377"/>
      <c r="O11" s="6"/>
      <c r="P11" s="6"/>
      <c r="Q11" s="6"/>
      <c r="R11" s="6"/>
      <c r="S11" s="8"/>
      <c r="T11" s="378"/>
      <c r="U11" s="379"/>
      <c r="V11" s="379"/>
      <c r="W11" s="379"/>
      <c r="X11" s="379"/>
      <c r="Y11" s="380"/>
      <c r="Z11" s="380"/>
      <c r="AA11" s="380"/>
      <c r="AB11" s="380"/>
      <c r="AC11" s="380"/>
      <c r="AD11" s="380"/>
      <c r="AE11" s="378"/>
      <c r="AF11" s="378"/>
      <c r="AG11" s="6"/>
      <c r="AH11" s="6"/>
      <c r="AI11" s="6"/>
      <c r="AJ11" s="6"/>
      <c r="AK11" s="378"/>
      <c r="AL11" s="378"/>
      <c r="AM11" s="378"/>
      <c r="AN11" s="6"/>
      <c r="AO11" s="6"/>
      <c r="AP11" s="378"/>
      <c r="AQ11" s="378"/>
      <c r="AR11" s="6"/>
      <c r="AS11" s="6"/>
      <c r="AT11" s="378"/>
      <c r="AU11" s="378"/>
      <c r="AV11" s="378"/>
      <c r="AW11" s="6"/>
      <c r="AX11" s="6"/>
      <c r="AY11" s="381"/>
      <c r="AZ11" s="378"/>
      <c r="BA11" s="378"/>
    </row>
    <row r="12" spans="1:53" ht="14.25" customHeight="1">
      <c r="A12" s="2">
        <f>A10+1</f>
        <v>2</v>
      </c>
      <c r="B12" s="482" t="s">
        <v>711</v>
      </c>
      <c r="C12" s="483" t="s">
        <v>712</v>
      </c>
      <c r="D12" s="162">
        <v>11.987</v>
      </c>
      <c r="E12" s="162">
        <f>D12*4</f>
        <v>47.948</v>
      </c>
      <c r="F12" s="162">
        <f>E12*8</f>
        <v>383.584</v>
      </c>
      <c r="G12" s="16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65">
        <f t="shared" ref="K12" si="1">SUM(G12:J12)</f>
        <v>12.502699999999999</v>
      </c>
      <c r="L12" s="163">
        <v>0.55700000000000005</v>
      </c>
      <c r="M12" s="15">
        <v>0.01</v>
      </c>
      <c r="N12" s="165">
        <f>SUM(L12:M12)</f>
        <v>0.56700000000000006</v>
      </c>
      <c r="O12" s="6"/>
      <c r="P12" s="6"/>
      <c r="Q12" s="6"/>
      <c r="R12" s="6"/>
      <c r="S12" s="8"/>
      <c r="T12" s="15" t="s">
        <v>499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27" t="s">
        <v>20</v>
      </c>
      <c r="AG12" s="15"/>
      <c r="AH12" s="15"/>
      <c r="AI12" s="6"/>
      <c r="AJ12" s="6"/>
      <c r="AK12" s="378"/>
      <c r="AL12" s="127" t="s">
        <v>20</v>
      </c>
      <c r="AM12" s="15" t="s">
        <v>6</v>
      </c>
      <c r="AN12" s="6"/>
      <c r="AO12" s="6"/>
      <c r="AP12" s="378"/>
      <c r="AQ12" s="378"/>
      <c r="AR12" s="6"/>
      <c r="AS12" s="6"/>
      <c r="AT12" s="378"/>
      <c r="AU12" s="378"/>
      <c r="AV12" s="378"/>
      <c r="AW12" s="6"/>
      <c r="AX12" s="6"/>
      <c r="AY12" s="381"/>
      <c r="AZ12" s="378"/>
      <c r="BA12" s="378"/>
    </row>
    <row r="13" spans="1:53" ht="14.25" customHeight="1">
      <c r="A13" s="2"/>
      <c r="B13" s="483"/>
      <c r="C13" s="483"/>
      <c r="D13" s="115"/>
      <c r="E13" s="115"/>
      <c r="F13" s="115"/>
      <c r="G13" s="115"/>
      <c r="H13" s="2"/>
      <c r="I13" s="2"/>
      <c r="J13" s="377"/>
      <c r="K13" s="115"/>
      <c r="L13" s="115"/>
      <c r="M13" s="2"/>
      <c r="N13" s="377"/>
      <c r="O13" s="6"/>
      <c r="P13" s="6"/>
      <c r="Q13" s="6"/>
      <c r="R13" s="6"/>
      <c r="S13" s="8"/>
      <c r="T13" s="378"/>
      <c r="U13" s="379"/>
      <c r="V13" s="379"/>
      <c r="W13" s="379"/>
      <c r="X13" s="379"/>
      <c r="Y13" s="380"/>
      <c r="Z13" s="380"/>
      <c r="AA13" s="380"/>
      <c r="AB13" s="380"/>
      <c r="AC13" s="380"/>
      <c r="AD13" s="380"/>
      <c r="AE13" s="378"/>
      <c r="AF13" s="378"/>
      <c r="AG13" s="6"/>
      <c r="AH13" s="6"/>
      <c r="AI13" s="6"/>
      <c r="AJ13" s="6"/>
      <c r="AK13" s="378"/>
      <c r="AL13" s="378"/>
      <c r="AM13" s="378"/>
      <c r="AN13" s="6"/>
      <c r="AO13" s="6"/>
      <c r="AP13" s="378"/>
      <c r="AQ13" s="378"/>
      <c r="AR13" s="6"/>
      <c r="AS13" s="6"/>
      <c r="AT13" s="378"/>
      <c r="AU13" s="378"/>
      <c r="AV13" s="378"/>
      <c r="AW13" s="6"/>
      <c r="AX13" s="6"/>
      <c r="AY13" s="381"/>
      <c r="AZ13" s="378"/>
      <c r="BA13" s="378"/>
    </row>
    <row r="14" spans="1:53" ht="14.25" customHeight="1">
      <c r="A14" s="2">
        <f>A12+1</f>
        <v>3</v>
      </c>
      <c r="B14" s="482" t="s">
        <v>713</v>
      </c>
      <c r="C14" s="556" t="s">
        <v>34</v>
      </c>
      <c r="D14" s="162">
        <v>11.987</v>
      </c>
      <c r="E14" s="162">
        <f>D14*4</f>
        <v>47.948</v>
      </c>
      <c r="F14" s="162">
        <f>E14*8</f>
        <v>383.584</v>
      </c>
      <c r="G14" s="163">
        <v>6.0579999999999998</v>
      </c>
      <c r="H14" s="15">
        <v>5.8739999999999997</v>
      </c>
      <c r="I14" s="15">
        <v>7.7000000000000002E-3</v>
      </c>
      <c r="J14" s="15">
        <v>0.56299999999999994</v>
      </c>
      <c r="K14" s="165">
        <f t="shared" ref="K14" si="2">SUM(G14:J14)</f>
        <v>12.502699999999999</v>
      </c>
      <c r="L14" s="163">
        <v>0.55700000000000005</v>
      </c>
      <c r="M14" s="15">
        <v>0.01</v>
      </c>
      <c r="N14" s="165">
        <f>SUM(L14:M14)</f>
        <v>0.56700000000000006</v>
      </c>
      <c r="O14" s="6"/>
      <c r="P14" s="6"/>
      <c r="Q14" s="6"/>
      <c r="R14" s="6"/>
      <c r="S14" s="8"/>
      <c r="T14" s="15" t="s">
        <v>499</v>
      </c>
      <c r="U14" s="15">
        <v>119.36</v>
      </c>
      <c r="V14" s="15">
        <v>2.0499999999999998</v>
      </c>
      <c r="W14" s="15">
        <v>18.37</v>
      </c>
      <c r="X14" s="15">
        <v>20.420000000000002</v>
      </c>
      <c r="Y14" s="15">
        <v>157.16420000000002</v>
      </c>
      <c r="Z14" s="15">
        <v>7858.2100000000009</v>
      </c>
      <c r="AA14" s="15">
        <v>89.9</v>
      </c>
      <c r="AB14" s="15"/>
      <c r="AC14" s="15">
        <v>1115.3400000000001</v>
      </c>
      <c r="AD14" s="15">
        <v>198.68</v>
      </c>
      <c r="AE14" s="15"/>
      <c r="AF14" s="127" t="s">
        <v>20</v>
      </c>
      <c r="AG14" s="15"/>
      <c r="AH14" s="15"/>
      <c r="AI14" s="6"/>
      <c r="AJ14" s="17">
        <v>46192</v>
      </c>
      <c r="AK14" s="378"/>
      <c r="AL14" s="127" t="s">
        <v>20</v>
      </c>
      <c r="AM14" s="15" t="s">
        <v>6</v>
      </c>
      <c r="AN14" s="6"/>
      <c r="AO14" s="6"/>
      <c r="AP14" s="378"/>
      <c r="AQ14" s="378"/>
      <c r="AR14" s="6"/>
      <c r="AS14" s="6"/>
      <c r="AT14" s="378"/>
      <c r="AU14" s="378"/>
      <c r="AV14" s="378"/>
      <c r="AW14" s="6"/>
      <c r="AX14" s="6"/>
      <c r="AY14" s="381"/>
      <c r="AZ14" s="378"/>
      <c r="BA14" s="378"/>
    </row>
    <row r="15" spans="1:53" ht="14.25" customHeight="1">
      <c r="A15" s="2"/>
      <c r="B15" s="483"/>
      <c r="C15" s="483"/>
      <c r="D15" s="115"/>
      <c r="E15" s="115"/>
      <c r="F15" s="115"/>
      <c r="G15" s="115"/>
      <c r="H15" s="2"/>
      <c r="I15" s="2"/>
      <c r="J15" s="377"/>
      <c r="K15" s="115"/>
      <c r="L15" s="115"/>
      <c r="M15" s="2"/>
      <c r="N15" s="377"/>
      <c r="O15" s="6"/>
      <c r="P15" s="6"/>
      <c r="Q15" s="6"/>
      <c r="R15" s="6"/>
      <c r="S15" s="8"/>
      <c r="T15" s="378"/>
      <c r="U15" s="379"/>
      <c r="V15" s="379"/>
      <c r="W15" s="379"/>
      <c r="X15" s="379"/>
      <c r="Y15" s="380"/>
      <c r="Z15" s="380"/>
      <c r="AA15" s="380"/>
      <c r="AB15" s="380"/>
      <c r="AC15" s="380"/>
      <c r="AD15" s="380"/>
      <c r="AE15" s="378"/>
      <c r="AF15" s="378"/>
      <c r="AG15" s="6"/>
      <c r="AH15" s="6"/>
      <c r="AI15" s="6"/>
      <c r="AJ15" s="6"/>
      <c r="AK15" s="378"/>
      <c r="AL15" s="378"/>
      <c r="AM15" s="378"/>
      <c r="AN15" s="6"/>
      <c r="AO15" s="6"/>
      <c r="AP15" s="378"/>
      <c r="AQ15" s="378"/>
      <c r="AR15" s="6"/>
      <c r="AS15" s="6"/>
      <c r="AT15" s="378"/>
      <c r="AU15" s="378"/>
      <c r="AV15" s="378"/>
      <c r="AW15" s="6"/>
      <c r="AX15" s="6"/>
      <c r="AY15" s="381"/>
      <c r="AZ15" s="378"/>
      <c r="BA15" s="378"/>
    </row>
    <row r="16" spans="1:53" ht="14.25" customHeight="1">
      <c r="A16" s="2">
        <f>A14+1</f>
        <v>4</v>
      </c>
      <c r="B16" s="482" t="s">
        <v>714</v>
      </c>
      <c r="C16" s="489" t="s">
        <v>62</v>
      </c>
      <c r="D16" s="162">
        <v>11.987</v>
      </c>
      <c r="E16" s="162">
        <f>D16*4</f>
        <v>47.948</v>
      </c>
      <c r="F16" s="162">
        <f>E16*8</f>
        <v>383.584</v>
      </c>
      <c r="G16" s="15">
        <f>4.906+4.424+0.596</f>
        <v>9.9260000000000002</v>
      </c>
      <c r="H16" s="15">
        <f>0.066+1.053+0.272</f>
        <v>1.391</v>
      </c>
      <c r="I16" s="15">
        <f>0.274+0.181+0.043</f>
        <v>0.498</v>
      </c>
      <c r="J16" s="15">
        <f>SUM(G16:I16)</f>
        <v>11.815</v>
      </c>
      <c r="K16" s="15">
        <v>0.53200000000000003</v>
      </c>
      <c r="L16" s="15"/>
      <c r="M16" s="15">
        <v>1.0999999999999999E-2</v>
      </c>
      <c r="N16" s="15">
        <f>K16+M16</f>
        <v>0.54300000000000004</v>
      </c>
      <c r="O16" s="15"/>
      <c r="P16" s="15"/>
      <c r="Q16" s="15"/>
      <c r="R16" s="15"/>
      <c r="S16" s="16"/>
      <c r="T16" s="15" t="s">
        <v>499</v>
      </c>
      <c r="U16" s="15">
        <v>75.36</v>
      </c>
      <c r="V16" s="15">
        <v>1.35</v>
      </c>
      <c r="W16" s="15">
        <v>13.06</v>
      </c>
      <c r="X16" s="15">
        <f>V16+W16</f>
        <v>14.41</v>
      </c>
      <c r="Y16" s="15">
        <v>89.9</v>
      </c>
      <c r="Z16" s="15"/>
      <c r="AA16" s="15">
        <v>1287.27</v>
      </c>
      <c r="AB16" s="15">
        <v>193.64</v>
      </c>
      <c r="AC16" s="15"/>
      <c r="AD16" s="15"/>
      <c r="AE16" s="15">
        <v>1.571</v>
      </c>
      <c r="AF16" s="127" t="s">
        <v>20</v>
      </c>
      <c r="AG16" s="17"/>
      <c r="AH16" s="17"/>
      <c r="AI16" s="17"/>
      <c r="AJ16" s="17"/>
      <c r="AK16" s="15" t="s">
        <v>719</v>
      </c>
      <c r="AL16" s="127" t="s">
        <v>20</v>
      </c>
      <c r="AM16" s="15" t="s">
        <v>6</v>
      </c>
      <c r="AN16" s="121"/>
      <c r="AO16" s="121"/>
      <c r="AP16" s="24"/>
      <c r="AQ16" s="127" t="s">
        <v>20</v>
      </c>
      <c r="AR16" s="15"/>
      <c r="AS16" s="349">
        <v>46227</v>
      </c>
      <c r="AT16" s="15"/>
      <c r="AU16" s="15"/>
      <c r="AV16" s="15"/>
      <c r="AW16" s="15"/>
      <c r="AX16" s="15"/>
      <c r="AY16" s="15"/>
      <c r="AZ16" s="15"/>
      <c r="BA16" s="15"/>
    </row>
    <row r="17" spans="1:53" ht="14.25" customHeight="1">
      <c r="A17" s="2"/>
      <c r="B17" s="2"/>
      <c r="C17" s="2"/>
      <c r="D17" s="115"/>
      <c r="E17" s="115"/>
      <c r="F17" s="115"/>
      <c r="G17" s="115"/>
      <c r="H17" s="2"/>
      <c r="I17" s="2"/>
      <c r="J17" s="377"/>
      <c r="K17" s="115"/>
      <c r="L17" s="115"/>
      <c r="M17" s="2"/>
      <c r="N17" s="377"/>
      <c r="O17" s="6"/>
      <c r="P17" s="6"/>
      <c r="Q17" s="6"/>
      <c r="R17" s="6"/>
      <c r="S17" s="8"/>
      <c r="T17" s="378"/>
      <c r="U17" s="379"/>
      <c r="V17" s="379"/>
      <c r="W17" s="379"/>
      <c r="X17" s="379"/>
      <c r="Y17" s="380"/>
      <c r="Z17" s="380"/>
      <c r="AA17" s="380"/>
      <c r="AB17" s="380"/>
      <c r="AC17" s="380"/>
      <c r="AD17" s="380"/>
      <c r="AE17" s="378"/>
      <c r="AF17" s="378"/>
      <c r="AG17" s="6"/>
      <c r="AH17" s="6"/>
      <c r="AI17" s="6"/>
      <c r="AJ17" s="6"/>
      <c r="AK17" s="378"/>
      <c r="AL17" s="378"/>
      <c r="AM17" s="378"/>
      <c r="AN17" s="6"/>
      <c r="AO17" s="6"/>
      <c r="AP17" s="378"/>
      <c r="AQ17" s="378"/>
      <c r="AR17" s="6"/>
      <c r="AS17" s="6"/>
      <c r="AT17" s="378"/>
      <c r="AU17" s="378"/>
      <c r="AV17" s="378"/>
      <c r="AW17" s="6"/>
      <c r="AX17" s="6"/>
      <c r="AY17" s="381"/>
      <c r="AZ17" s="378"/>
      <c r="BA17" s="378"/>
    </row>
    <row r="18" spans="1:53" ht="14.25" customHeight="1">
      <c r="A18" s="15"/>
      <c r="B18" s="35" t="s">
        <v>303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4"/>
      <c r="AM18" s="25"/>
      <c r="AN18" s="24"/>
      <c r="AO18" s="24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25.92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A16+1</f>
        <v>5</v>
      </c>
      <c r="B20" s="484" t="s">
        <v>38</v>
      </c>
      <c r="C20" s="490" t="s">
        <v>34</v>
      </c>
      <c r="D20" s="162">
        <v>9.6539999999999999</v>
      </c>
      <c r="E20" s="162">
        <f>D20*4</f>
        <v>38.616</v>
      </c>
      <c r="F20" s="16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499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27" t="s">
        <v>20</v>
      </c>
      <c r="AG20" s="17"/>
      <c r="AH20" s="17"/>
      <c r="AI20" s="17"/>
      <c r="AJ20" s="17"/>
      <c r="AK20" s="15" t="s">
        <v>719</v>
      </c>
      <c r="AL20" s="127" t="s">
        <v>20</v>
      </c>
      <c r="AM20" s="15" t="s">
        <v>6</v>
      </c>
      <c r="AN20" s="121"/>
      <c r="AO20" s="121"/>
      <c r="AP20" s="24"/>
      <c r="AQ20" s="127" t="s">
        <v>20</v>
      </c>
      <c r="AR20" s="349">
        <v>46193</v>
      </c>
      <c r="AS20" s="349">
        <v>46196</v>
      </c>
      <c r="AT20" s="15"/>
      <c r="AU20" s="15"/>
      <c r="AV20" s="127" t="s">
        <v>20</v>
      </c>
      <c r="AW20" s="15"/>
      <c r="AX20" s="15"/>
      <c r="AY20" s="15"/>
      <c r="AZ20" s="15"/>
      <c r="BA20" s="15"/>
    </row>
    <row r="21" spans="1:53" customFormat="1" ht="14.25" customHeight="1">
      <c r="A21" s="15"/>
      <c r="B21" s="484"/>
      <c r="C21" s="484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230.15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.25" customHeight="1">
      <c r="A22" s="15">
        <f>A20+1</f>
        <v>6</v>
      </c>
      <c r="B22" s="484" t="s">
        <v>64</v>
      </c>
      <c r="C22" s="490" t="s">
        <v>34</v>
      </c>
      <c r="D22" s="162">
        <v>9.6539999999999999</v>
      </c>
      <c r="E22" s="162">
        <f>D22*4</f>
        <v>38.616</v>
      </c>
      <c r="F22" s="162">
        <f>E22*8</f>
        <v>308.928</v>
      </c>
      <c r="G22" s="15">
        <f>4.906+1.456+0.596</f>
        <v>6.9580000000000002</v>
      </c>
      <c r="H22" s="15">
        <f>0.066+0.717+0.272</f>
        <v>1.0549999999999999</v>
      </c>
      <c r="I22" s="15">
        <f>0.274+0.083+0.043</f>
        <v>0.4</v>
      </c>
      <c r="J22" s="15">
        <f>SUM(G22:I22)</f>
        <v>8.4130000000000003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499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27" t="s">
        <v>20</v>
      </c>
      <c r="AG22" s="17"/>
      <c r="AH22" s="17"/>
      <c r="AI22" s="17"/>
      <c r="AJ22" s="17"/>
      <c r="AK22" s="15" t="s">
        <v>719</v>
      </c>
      <c r="AL22" s="127" t="s">
        <v>20</v>
      </c>
      <c r="AM22" s="15" t="s">
        <v>6</v>
      </c>
      <c r="AN22" s="121"/>
      <c r="AO22" s="121"/>
      <c r="AP22" s="24"/>
      <c r="AQ22" s="127" t="s">
        <v>20</v>
      </c>
      <c r="AR22" s="349">
        <v>46190</v>
      </c>
      <c r="AS22" s="349">
        <v>46192</v>
      </c>
      <c r="AT22" s="15"/>
      <c r="AU22" s="15"/>
      <c r="AV22" s="127" t="s">
        <v>20</v>
      </c>
      <c r="AW22" s="15"/>
      <c r="AX22" s="15"/>
      <c r="AY22" s="15"/>
      <c r="AZ22" s="15"/>
      <c r="BA22" s="15"/>
    </row>
    <row r="23" spans="1:53" customFormat="1" ht="14.25" customHeight="1">
      <c r="A23" s="15"/>
      <c r="B23" s="484"/>
      <c r="C23" s="484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234.56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1" customHeight="1">
      <c r="A24" s="15">
        <f t="shared" ref="A24" si="3">A22+1</f>
        <v>7</v>
      </c>
      <c r="B24" s="485" t="s">
        <v>344</v>
      </c>
      <c r="C24" s="490" t="s">
        <v>62</v>
      </c>
      <c r="D24" s="162">
        <v>11.987</v>
      </c>
      <c r="E24" s="162">
        <f>D24*4</f>
        <v>47.948</v>
      </c>
      <c r="F24" s="162">
        <f>E24*8</f>
        <v>383.584</v>
      </c>
      <c r="G24" s="15">
        <f>4.906+4.424+0.596</f>
        <v>9.9260000000000002</v>
      </c>
      <c r="H24" s="15">
        <f>0.066+1.053+0.272</f>
        <v>1.391</v>
      </c>
      <c r="I24" s="15">
        <f>0.274+0.181+0.043</f>
        <v>0.498</v>
      </c>
      <c r="J24" s="15">
        <f>SUM(G24:I24)</f>
        <v>11.815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499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27" t="s">
        <v>20</v>
      </c>
      <c r="AG24" s="17"/>
      <c r="AH24" s="17"/>
      <c r="AI24" s="17"/>
      <c r="AJ24" s="17"/>
      <c r="AK24" s="15" t="s">
        <v>719</v>
      </c>
      <c r="AL24" s="127" t="s">
        <v>20</v>
      </c>
      <c r="AM24" s="15" t="s">
        <v>6</v>
      </c>
      <c r="AN24" s="121"/>
      <c r="AO24" s="121"/>
      <c r="AP24" s="24"/>
      <c r="AQ24" s="127" t="s">
        <v>20</v>
      </c>
      <c r="AR24" s="349">
        <v>46178</v>
      </c>
      <c r="AS24" s="15" t="s">
        <v>765</v>
      </c>
      <c r="AT24" s="15"/>
      <c r="AU24" s="15"/>
      <c r="AV24" s="127" t="s">
        <v>20</v>
      </c>
      <c r="AW24" s="15"/>
      <c r="AX24" s="15"/>
      <c r="AY24" s="15"/>
      <c r="AZ24" s="15"/>
      <c r="BA24" s="15"/>
    </row>
    <row r="25" spans="1:53" customFormat="1" ht="14.25" customHeight="1">
      <c r="A25" s="15"/>
      <c r="B25" s="484"/>
      <c r="C25" s="484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251.12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4">A24+1</f>
        <v>8</v>
      </c>
      <c r="B26" s="485" t="s">
        <v>67</v>
      </c>
      <c r="C26" s="490" t="s">
        <v>34</v>
      </c>
      <c r="D26" s="162">
        <v>9.6539999999999999</v>
      </c>
      <c r="E26" s="162">
        <f>D26*4</f>
        <v>38.616</v>
      </c>
      <c r="F26" s="162">
        <f>E26*8</f>
        <v>308.928</v>
      </c>
      <c r="G26" s="15">
        <f>4.906+1.456+0.596</f>
        <v>6.9580000000000002</v>
      </c>
      <c r="H26" s="15">
        <f>0.066+0.717+0.272</f>
        <v>1.0549999999999999</v>
      </c>
      <c r="I26" s="15">
        <f>0.274+0.083+0.043</f>
        <v>0.4</v>
      </c>
      <c r="J26" s="15">
        <f>SUM(G26:I26)</f>
        <v>8.4130000000000003</v>
      </c>
      <c r="K26" s="15">
        <v>0.53200000000000003</v>
      </c>
      <c r="L26" s="15"/>
      <c r="M26" s="15">
        <v>1.0999999999999999E-2</v>
      </c>
      <c r="N26" s="15">
        <f>K26+M26</f>
        <v>0.54300000000000004</v>
      </c>
      <c r="O26" s="15"/>
      <c r="P26" s="15"/>
      <c r="Q26" s="15"/>
      <c r="R26" s="15"/>
      <c r="S26" s="16"/>
      <c r="T26" s="15" t="s">
        <v>499</v>
      </c>
      <c r="U26" s="15">
        <v>75.36</v>
      </c>
      <c r="V26" s="15">
        <v>1.35</v>
      </c>
      <c r="W26" s="15">
        <v>13.06</v>
      </c>
      <c r="X26" s="15">
        <f>V26+W26</f>
        <v>14.41</v>
      </c>
      <c r="Y26" s="15">
        <v>89.9</v>
      </c>
      <c r="Z26" s="15"/>
      <c r="AA26" s="15">
        <v>1287.27</v>
      </c>
      <c r="AB26" s="15">
        <v>193.64</v>
      </c>
      <c r="AC26" s="15"/>
      <c r="AD26" s="15"/>
      <c r="AE26" s="15">
        <v>1.571</v>
      </c>
      <c r="AF26" s="127" t="s">
        <v>20</v>
      </c>
      <c r="AG26" s="17">
        <v>46121</v>
      </c>
      <c r="AH26" s="17">
        <v>46122</v>
      </c>
      <c r="AI26" s="17">
        <v>46124</v>
      </c>
      <c r="AJ26" s="17">
        <v>46126</v>
      </c>
      <c r="AK26" s="15" t="s">
        <v>742</v>
      </c>
      <c r="AL26" s="127" t="s">
        <v>20</v>
      </c>
      <c r="AM26" s="15" t="s">
        <v>6</v>
      </c>
      <c r="AN26" s="121"/>
      <c r="AO26" s="121"/>
      <c r="AP26" s="24"/>
      <c r="AQ26" s="127" t="s">
        <v>20</v>
      </c>
      <c r="AR26" s="15" t="s">
        <v>747</v>
      </c>
      <c r="AS26" s="349" t="s">
        <v>744</v>
      </c>
      <c r="AT26" s="15" t="s">
        <v>745</v>
      </c>
      <c r="AU26" s="15"/>
      <c r="AV26" s="127" t="s">
        <v>20</v>
      </c>
      <c r="AW26" s="15"/>
      <c r="AX26" s="15"/>
      <c r="AY26" s="15"/>
      <c r="AZ26" s="15"/>
      <c r="BA26" s="15"/>
    </row>
    <row r="27" spans="1:53" customFormat="1" ht="14.25" customHeight="1">
      <c r="A27" s="15"/>
      <c r="B27" s="484"/>
      <c r="C27" s="484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183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5">A26+1</f>
        <v>9</v>
      </c>
      <c r="B28" s="485" t="s">
        <v>310</v>
      </c>
      <c r="C28" s="484" t="s">
        <v>37</v>
      </c>
      <c r="D28" s="162">
        <v>6.992</v>
      </c>
      <c r="E28" s="162">
        <f>D28*4</f>
        <v>27.968</v>
      </c>
      <c r="F28" s="162">
        <f>E28*8</f>
        <v>223.744</v>
      </c>
      <c r="G28" s="15">
        <f>1.267+0.234+1.276</f>
        <v>2.7770000000000001</v>
      </c>
      <c r="H28" s="15">
        <f>1.137+0.487+0.273</f>
        <v>1.8970000000000002</v>
      </c>
      <c r="I28" s="15">
        <f>0.182+0.074+0.032</f>
        <v>0.28800000000000003</v>
      </c>
      <c r="J28" s="15">
        <f>SUM(G28:I28)</f>
        <v>4.9620000000000006</v>
      </c>
      <c r="K28" s="15">
        <v>0.27100000000000002</v>
      </c>
      <c r="L28" s="15"/>
      <c r="M28" s="15">
        <v>7.0000000000000001E-3</v>
      </c>
      <c r="N28" s="15">
        <f>M28+K28</f>
        <v>0.27800000000000002</v>
      </c>
      <c r="O28" s="15"/>
      <c r="P28" s="15"/>
      <c r="Q28" s="15"/>
      <c r="R28" s="15"/>
      <c r="S28" s="16"/>
      <c r="T28" s="15" t="s">
        <v>499</v>
      </c>
      <c r="U28" s="15">
        <v>41.44</v>
      </c>
      <c r="V28" s="15">
        <v>0.8</v>
      </c>
      <c r="W28" s="15">
        <v>7.73</v>
      </c>
      <c r="X28" s="15">
        <f>W28+V28</f>
        <v>8.5300000000000011</v>
      </c>
      <c r="Y28" s="15">
        <v>73.75</v>
      </c>
      <c r="Z28" s="15">
        <v>235.38</v>
      </c>
      <c r="AA28" s="15"/>
      <c r="AB28" s="15">
        <v>201.4</v>
      </c>
      <c r="AC28" s="15"/>
      <c r="AD28" s="15"/>
      <c r="AE28" s="15">
        <v>0.51</v>
      </c>
      <c r="AF28" s="127" t="s">
        <v>20</v>
      </c>
      <c r="AG28" s="17">
        <v>46118</v>
      </c>
      <c r="AH28" s="17">
        <v>46119</v>
      </c>
      <c r="AI28" s="17">
        <v>46123</v>
      </c>
      <c r="AJ28" s="17">
        <v>46124</v>
      </c>
      <c r="AK28" s="15" t="s">
        <v>742</v>
      </c>
      <c r="AL28" s="127" t="s">
        <v>20</v>
      </c>
      <c r="AM28" s="15"/>
      <c r="AN28" s="121"/>
      <c r="AO28" s="121"/>
      <c r="AP28" s="24"/>
      <c r="AQ28" s="127" t="s">
        <v>20</v>
      </c>
      <c r="AR28" s="17">
        <v>46130</v>
      </c>
      <c r="AS28" s="349" t="s">
        <v>746</v>
      </c>
      <c r="AT28" s="15" t="s">
        <v>745</v>
      </c>
      <c r="AU28" s="15"/>
      <c r="AV28" s="127" t="s">
        <v>20</v>
      </c>
      <c r="AW28" s="15"/>
      <c r="AX28" s="15"/>
      <c r="AY28" s="15"/>
      <c r="AZ28" s="15"/>
      <c r="BA28" s="15"/>
    </row>
    <row r="29" spans="1:53" customFormat="1" ht="14.25" customHeight="1">
      <c r="A29" s="15"/>
      <c r="B29" s="484"/>
      <c r="C29" s="484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182.07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6">A28+1</f>
        <v>10</v>
      </c>
      <c r="B30" s="484" t="s">
        <v>69</v>
      </c>
      <c r="C30" s="490" t="s">
        <v>34</v>
      </c>
      <c r="D30" s="162">
        <v>9.6539999999999999</v>
      </c>
      <c r="E30" s="162">
        <f>D30*4</f>
        <v>38.616</v>
      </c>
      <c r="F30" s="162">
        <f>E30*8</f>
        <v>308.928</v>
      </c>
      <c r="G30" s="15">
        <f>4.906+1.456+0.596</f>
        <v>6.9580000000000002</v>
      </c>
      <c r="H30" s="15">
        <f>0.066+0.717+0.272</f>
        <v>1.0549999999999999</v>
      </c>
      <c r="I30" s="15">
        <f>0.274+0.083+0.043</f>
        <v>0.4</v>
      </c>
      <c r="J30" s="15">
        <f>SUM(G30:I30)</f>
        <v>8.4130000000000003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499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27" t="s">
        <v>20</v>
      </c>
      <c r="AG30" s="17">
        <v>46082</v>
      </c>
      <c r="AH30" s="17">
        <v>46083</v>
      </c>
      <c r="AI30" s="17">
        <v>46087</v>
      </c>
      <c r="AJ30" s="17">
        <v>46089</v>
      </c>
      <c r="AK30" s="15" t="s">
        <v>700</v>
      </c>
      <c r="AL30" s="127" t="s">
        <v>20</v>
      </c>
      <c r="AM30" s="15" t="s">
        <v>6</v>
      </c>
      <c r="AN30" s="121"/>
      <c r="AO30" s="121"/>
      <c r="AP30" s="24"/>
      <c r="AQ30" s="127" t="s">
        <v>20</v>
      </c>
      <c r="AR30" s="17">
        <v>46097</v>
      </c>
      <c r="AS30" s="17">
        <v>46100</v>
      </c>
      <c r="AT30" s="17" t="s">
        <v>738</v>
      </c>
      <c r="AU30" s="15"/>
      <c r="AV30" s="127" t="s">
        <v>20</v>
      </c>
      <c r="AW30" s="15"/>
      <c r="AX30" s="15"/>
      <c r="AY30" s="15"/>
      <c r="AZ30" s="15"/>
      <c r="BA30" s="15"/>
    </row>
    <row r="31" spans="1:53" customFormat="1" ht="14.25" customHeight="1">
      <c r="A31" s="15"/>
      <c r="B31" s="484"/>
      <c r="C31" s="484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328.09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7">A30+1</f>
        <v>11</v>
      </c>
      <c r="B32" s="486" t="s">
        <v>71</v>
      </c>
      <c r="C32" s="490" t="s">
        <v>500</v>
      </c>
      <c r="D32" s="162">
        <v>10.82</v>
      </c>
      <c r="E32" s="162">
        <f>D32*4</f>
        <v>43.28</v>
      </c>
      <c r="F32" s="162">
        <f>E32*8</f>
        <v>346.24</v>
      </c>
      <c r="G32" s="15">
        <f>4.906+2.484+0.596</f>
        <v>7.9859999999999998</v>
      </c>
      <c r="H32" s="15">
        <f>0.066+1.044+0.272</f>
        <v>1.3820000000000001</v>
      </c>
      <c r="I32" s="15">
        <f>0.274+0.132+0.043</f>
        <v>0.44900000000000001</v>
      </c>
      <c r="J32" s="15">
        <f>SUM(G32:I32)</f>
        <v>9.8170000000000002</v>
      </c>
      <c r="K32" s="15">
        <v>0.53200000000000003</v>
      </c>
      <c r="L32" s="15"/>
      <c r="M32" s="15">
        <v>1.0999999999999999E-2</v>
      </c>
      <c r="N32" s="15">
        <f>K32+M32</f>
        <v>0.54300000000000004</v>
      </c>
      <c r="O32" s="15"/>
      <c r="P32" s="15"/>
      <c r="Q32" s="15"/>
      <c r="R32" s="15"/>
      <c r="S32" s="16"/>
      <c r="T32" s="15" t="s">
        <v>499</v>
      </c>
      <c r="U32" s="15">
        <v>75.36</v>
      </c>
      <c r="V32" s="15">
        <v>1.35</v>
      </c>
      <c r="W32" s="15">
        <v>13.06</v>
      </c>
      <c r="X32" s="15">
        <f>V32+W32</f>
        <v>14.41</v>
      </c>
      <c r="Y32" s="15">
        <v>89.9</v>
      </c>
      <c r="Z32" s="15"/>
      <c r="AA32" s="15">
        <v>1287.27</v>
      </c>
      <c r="AB32" s="15">
        <v>193.64</v>
      </c>
      <c r="AC32" s="15"/>
      <c r="AD32" s="15"/>
      <c r="AE32" s="15">
        <v>1.571</v>
      </c>
      <c r="AF32" s="127" t="s">
        <v>20</v>
      </c>
      <c r="AG32" s="17"/>
      <c r="AH32" s="17"/>
      <c r="AI32" s="17">
        <v>46084</v>
      </c>
      <c r="AJ32" s="17">
        <v>46097</v>
      </c>
      <c r="AK32" s="15" t="s">
        <v>700</v>
      </c>
      <c r="AL32" s="127" t="s">
        <v>20</v>
      </c>
      <c r="AM32" s="15" t="s">
        <v>6</v>
      </c>
      <c r="AN32" s="121"/>
      <c r="AO32" s="121"/>
      <c r="AP32" s="24"/>
      <c r="AQ32" s="127" t="s">
        <v>20</v>
      </c>
      <c r="AR32" s="17">
        <v>46101</v>
      </c>
      <c r="AS32" s="17">
        <v>46103</v>
      </c>
      <c r="AT32" s="17" t="s">
        <v>738</v>
      </c>
      <c r="AU32" s="15"/>
      <c r="AV32" s="127" t="s">
        <v>20</v>
      </c>
      <c r="AW32" s="15"/>
      <c r="AX32" s="15"/>
      <c r="AY32" s="15"/>
      <c r="AZ32" s="15"/>
      <c r="BA32" s="15"/>
    </row>
    <row r="33" spans="1:53" customFormat="1" ht="14.25" customHeight="1">
      <c r="A33" s="15"/>
      <c r="B33" s="484"/>
      <c r="C33" s="484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40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8">A32+1</f>
        <v>12</v>
      </c>
      <c r="B34" s="486" t="s">
        <v>72</v>
      </c>
      <c r="C34" s="490" t="s">
        <v>500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499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27" t="s">
        <v>20</v>
      </c>
      <c r="AG34" s="17"/>
      <c r="AH34" s="17"/>
      <c r="AI34" s="17" t="s">
        <v>724</v>
      </c>
      <c r="AJ34" s="17">
        <v>46098</v>
      </c>
      <c r="AK34" s="15" t="s">
        <v>700</v>
      </c>
      <c r="AL34" s="127" t="s">
        <v>20</v>
      </c>
      <c r="AM34" s="15" t="s">
        <v>6</v>
      </c>
      <c r="AN34" s="121"/>
      <c r="AO34" s="121"/>
      <c r="AP34" s="24"/>
      <c r="AQ34" s="127" t="s">
        <v>20</v>
      </c>
      <c r="AR34" s="17">
        <v>46103</v>
      </c>
      <c r="AS34" s="17">
        <v>46104</v>
      </c>
      <c r="AT34" s="17" t="s">
        <v>738</v>
      </c>
      <c r="AU34" s="15"/>
      <c r="AV34" s="127" t="s">
        <v>20</v>
      </c>
      <c r="AW34" s="15"/>
      <c r="AX34" s="15"/>
      <c r="AY34" s="15"/>
      <c r="AZ34" s="15"/>
      <c r="BA34" s="15"/>
    </row>
    <row r="35" spans="1:53" customFormat="1" ht="14.25" customHeight="1">
      <c r="A35" s="15"/>
      <c r="B35" s="485"/>
      <c r="C35" s="490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57.414999999999999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9">A34+1</f>
        <v>13</v>
      </c>
      <c r="B36" s="503" t="s">
        <v>93</v>
      </c>
      <c r="C36" s="490" t="s">
        <v>34</v>
      </c>
      <c r="D36" s="15"/>
      <c r="E36" s="15"/>
      <c r="F36" s="15">
        <v>54</v>
      </c>
      <c r="G36" s="15"/>
      <c r="H36" s="15">
        <v>4.1059999999999999</v>
      </c>
      <c r="I36" s="15">
        <v>0.23</v>
      </c>
      <c r="J36" s="15">
        <f>SUM(G36:I36)</f>
        <v>4.3360000000000003</v>
      </c>
      <c r="K36" s="15"/>
      <c r="L36" s="15">
        <f>0.12+0.219</f>
        <v>0.33899999999999997</v>
      </c>
      <c r="M36" s="15">
        <f>0.003+0.003</f>
        <v>6.0000000000000001E-3</v>
      </c>
      <c r="N36" s="15">
        <f>SUM(K36:M36)</f>
        <v>0.34499999999999997</v>
      </c>
      <c r="O36" s="15"/>
      <c r="P36" s="15"/>
      <c r="Q36" s="15"/>
      <c r="R36" s="15"/>
      <c r="S36" s="16"/>
      <c r="T36" s="15" t="s">
        <v>499</v>
      </c>
      <c r="U36" s="15">
        <v>315</v>
      </c>
      <c r="V36" s="15">
        <v>4.0999999999999996</v>
      </c>
      <c r="W36" s="15">
        <v>42</v>
      </c>
      <c r="X36" s="15">
        <f>W36+V36</f>
        <v>46.1</v>
      </c>
      <c r="Y36" s="15"/>
      <c r="Z36" s="15"/>
      <c r="AA36" s="15"/>
      <c r="AB36" s="15"/>
      <c r="AC36" s="15"/>
      <c r="AD36" s="15"/>
      <c r="AE36" s="15">
        <v>3.95</v>
      </c>
      <c r="AF36" s="127" t="s">
        <v>20</v>
      </c>
      <c r="AG36" s="17">
        <v>46050</v>
      </c>
      <c r="AH36" s="17">
        <v>46051</v>
      </c>
      <c r="AI36" s="17">
        <v>46056</v>
      </c>
      <c r="AJ36" s="17">
        <v>46058</v>
      </c>
      <c r="AK36" s="15" t="s">
        <v>700</v>
      </c>
      <c r="AL36" s="127" t="s">
        <v>20</v>
      </c>
      <c r="AM36" s="25" t="s">
        <v>6</v>
      </c>
      <c r="AN36" s="121"/>
      <c r="AO36" s="121"/>
      <c r="AP36" s="24"/>
      <c r="AQ36" s="127" t="s">
        <v>20</v>
      </c>
      <c r="AR36" s="17">
        <v>46095</v>
      </c>
      <c r="AS36" s="17">
        <v>46097</v>
      </c>
      <c r="AT36" s="17" t="s">
        <v>737</v>
      </c>
      <c r="AU36" s="15"/>
      <c r="AV36" s="127" t="s">
        <v>20</v>
      </c>
      <c r="AW36" s="15"/>
      <c r="AX36" s="15"/>
      <c r="AY36" s="15"/>
      <c r="AZ36" s="15"/>
      <c r="BA36" s="15"/>
    </row>
    <row r="37" spans="1:53" customFormat="1" ht="14.25" customHeight="1">
      <c r="A37" s="15"/>
      <c r="B37" s="484"/>
      <c r="C37" s="484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38.566000000000003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0">A36+1</f>
        <v>14</v>
      </c>
      <c r="B38" s="485" t="s">
        <v>104</v>
      </c>
      <c r="C38" s="490" t="s">
        <v>51</v>
      </c>
      <c r="D38" s="162">
        <v>9.6539999999999999</v>
      </c>
      <c r="E38" s="162">
        <f>D38*4</f>
        <v>38.616</v>
      </c>
      <c r="F38" s="16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499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27" t="s">
        <v>20</v>
      </c>
      <c r="AG38" s="17">
        <v>46052</v>
      </c>
      <c r="AH38" s="17" t="s">
        <v>715</v>
      </c>
      <c r="AI38" s="17">
        <v>46058</v>
      </c>
      <c r="AJ38" s="17" t="s">
        <v>718</v>
      </c>
      <c r="AK38" s="15" t="s">
        <v>689</v>
      </c>
      <c r="AL38" s="127" t="s">
        <v>20</v>
      </c>
      <c r="AM38" s="25" t="s">
        <v>6</v>
      </c>
      <c r="AN38" s="121"/>
      <c r="AO38" s="121"/>
      <c r="AP38" s="24"/>
      <c r="AQ38" s="127" t="s">
        <v>20</v>
      </c>
      <c r="AR38" s="17">
        <v>46070</v>
      </c>
      <c r="AS38" s="17">
        <v>46072</v>
      </c>
      <c r="AT38" s="15" t="s">
        <v>693</v>
      </c>
      <c r="AU38" s="17"/>
      <c r="AV38" s="127" t="s">
        <v>20</v>
      </c>
      <c r="AW38" s="17"/>
      <c r="AX38" s="17"/>
      <c r="AY38" s="17"/>
      <c r="AZ38" s="15"/>
      <c r="BA38" s="15"/>
    </row>
    <row r="39" spans="1:53" customFormat="1" ht="14.25" customHeight="1">
      <c r="A39" s="15"/>
      <c r="B39" s="484"/>
      <c r="C39" s="484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182.04300000000001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1">A38+1</f>
        <v>15</v>
      </c>
      <c r="B40" s="504" t="s">
        <v>696</v>
      </c>
      <c r="C40" s="490" t="s">
        <v>56</v>
      </c>
      <c r="D40" s="162">
        <v>9.6539999999999999</v>
      </c>
      <c r="E40" s="162">
        <f>D40*4</f>
        <v>38.616</v>
      </c>
      <c r="F40" s="16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499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27" t="s">
        <v>20</v>
      </c>
      <c r="AG40" s="17">
        <v>46045</v>
      </c>
      <c r="AH40" s="17">
        <v>45681</v>
      </c>
      <c r="AI40" s="17">
        <v>46050</v>
      </c>
      <c r="AJ40" s="17">
        <v>46052</v>
      </c>
      <c r="AK40" s="15" t="s">
        <v>700</v>
      </c>
      <c r="AL40" s="127" t="s">
        <v>20</v>
      </c>
      <c r="AM40" s="25" t="s">
        <v>6</v>
      </c>
      <c r="AN40" s="121"/>
      <c r="AO40" s="121"/>
      <c r="AP40" s="24"/>
      <c r="AQ40" s="127" t="s">
        <v>20</v>
      </c>
      <c r="AR40" s="17">
        <v>46062</v>
      </c>
      <c r="AS40" s="17">
        <v>46064</v>
      </c>
      <c r="AT40" s="15" t="s">
        <v>693</v>
      </c>
      <c r="AU40" s="15"/>
      <c r="AV40" s="12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484"/>
      <c r="C41" s="484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204.148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2">A40+1</f>
        <v>16</v>
      </c>
      <c r="B42" s="485" t="s">
        <v>697</v>
      </c>
      <c r="C42" s="490" t="s">
        <v>56</v>
      </c>
      <c r="D42" s="162">
        <v>9.6539999999999999</v>
      </c>
      <c r="E42" s="162">
        <f>D42*4</f>
        <v>38.616</v>
      </c>
      <c r="F42" s="162">
        <f>E42*8</f>
        <v>308.928</v>
      </c>
      <c r="G42" s="15">
        <f>4.906+1.456+0.596</f>
        <v>6.9580000000000002</v>
      </c>
      <c r="H42" s="15">
        <f>0.066+0.717+0.272</f>
        <v>1.0549999999999999</v>
      </c>
      <c r="I42" s="15">
        <f>0.274+0.083+0.043</f>
        <v>0.4</v>
      </c>
      <c r="J42" s="15">
        <f>SUM(G42:I42)</f>
        <v>8.4130000000000003</v>
      </c>
      <c r="K42" s="15">
        <v>0.53200000000000003</v>
      </c>
      <c r="L42" s="15"/>
      <c r="M42" s="15">
        <v>1.0999999999999999E-2</v>
      </c>
      <c r="N42" s="15">
        <f>K42+M42</f>
        <v>0.54300000000000004</v>
      </c>
      <c r="O42" s="15"/>
      <c r="P42" s="15"/>
      <c r="Q42" s="15"/>
      <c r="R42" s="15"/>
      <c r="S42" s="16"/>
      <c r="T42" s="15" t="s">
        <v>499</v>
      </c>
      <c r="U42" s="15">
        <v>75.36</v>
      </c>
      <c r="V42" s="15">
        <v>1.35</v>
      </c>
      <c r="W42" s="15">
        <v>13.06</v>
      </c>
      <c r="X42" s="15">
        <f>V42+W42</f>
        <v>14.41</v>
      </c>
      <c r="Y42" s="15">
        <v>89.9</v>
      </c>
      <c r="Z42" s="15"/>
      <c r="AA42" s="15">
        <v>1287.27</v>
      </c>
      <c r="AB42" s="15">
        <v>193.64</v>
      </c>
      <c r="AC42" s="15"/>
      <c r="AD42" s="15"/>
      <c r="AE42" s="15">
        <v>1.571</v>
      </c>
      <c r="AF42" s="127" t="s">
        <v>20</v>
      </c>
      <c r="AG42" s="17">
        <v>46043</v>
      </c>
      <c r="AH42" s="17">
        <v>46045</v>
      </c>
      <c r="AI42" s="17">
        <v>46047</v>
      </c>
      <c r="AJ42" s="17">
        <v>46049</v>
      </c>
      <c r="AK42" s="15" t="s">
        <v>689</v>
      </c>
      <c r="AL42" s="127" t="s">
        <v>20</v>
      </c>
      <c r="AM42" s="25" t="s">
        <v>6</v>
      </c>
      <c r="AN42" s="121"/>
      <c r="AO42" s="121"/>
      <c r="AP42" s="24"/>
      <c r="AQ42" s="127" t="s">
        <v>20</v>
      </c>
      <c r="AR42" s="17">
        <v>46097</v>
      </c>
      <c r="AS42" s="17">
        <v>46099</v>
      </c>
      <c r="AT42" s="17" t="s">
        <v>737</v>
      </c>
      <c r="AU42" s="15"/>
      <c r="AV42" s="12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484"/>
      <c r="C43" s="484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254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3">A42+1</f>
        <v>17</v>
      </c>
      <c r="B44" s="487" t="s">
        <v>698</v>
      </c>
      <c r="C44" s="490" t="s">
        <v>42</v>
      </c>
      <c r="D44" s="162">
        <v>6.992</v>
      </c>
      <c r="E44" s="162">
        <f>D44*4</f>
        <v>27.968</v>
      </c>
      <c r="F44" s="16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536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27" t="s">
        <v>20</v>
      </c>
      <c r="AG44" s="17">
        <v>46032</v>
      </c>
      <c r="AH44" s="17">
        <v>46038</v>
      </c>
      <c r="AI44" s="17" t="s">
        <v>706</v>
      </c>
      <c r="AJ44" s="17">
        <v>46053</v>
      </c>
      <c r="AK44" s="15" t="s">
        <v>689</v>
      </c>
      <c r="AL44" s="127" t="s">
        <v>20</v>
      </c>
      <c r="AM44" s="25" t="s">
        <v>6</v>
      </c>
      <c r="AN44" s="121"/>
      <c r="AO44" s="121"/>
      <c r="AP44" s="24"/>
      <c r="AQ44" s="127" t="s">
        <v>20</v>
      </c>
      <c r="AR44" s="17">
        <v>46067</v>
      </c>
      <c r="AS44" s="17">
        <v>46069</v>
      </c>
      <c r="AT44" s="15" t="s">
        <v>693</v>
      </c>
      <c r="AU44" s="15"/>
      <c r="AV44" s="12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484"/>
      <c r="C45" s="484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294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4">A44+1</f>
        <v>18</v>
      </c>
      <c r="B46" s="488" t="s">
        <v>699</v>
      </c>
      <c r="C46" s="484" t="s">
        <v>37</v>
      </c>
      <c r="D46" s="162">
        <v>6.992</v>
      </c>
      <c r="E46" s="162">
        <f>D46*4</f>
        <v>27.968</v>
      </c>
      <c r="F46" s="162">
        <f>E46*8</f>
        <v>223.744</v>
      </c>
      <c r="G46" s="15">
        <f>1.267+0.234+1.276</f>
        <v>2.7770000000000001</v>
      </c>
      <c r="H46" s="15">
        <f>1.137+0.487+0.273</f>
        <v>1.8970000000000002</v>
      </c>
      <c r="I46" s="15">
        <f>0.182+0.074+0.032</f>
        <v>0.28800000000000003</v>
      </c>
      <c r="J46" s="15">
        <f>SUM(G46:I46)</f>
        <v>4.9620000000000006</v>
      </c>
      <c r="K46" s="15">
        <v>0.27100000000000002</v>
      </c>
      <c r="L46" s="15"/>
      <c r="M46" s="15">
        <v>7.0000000000000001E-3</v>
      </c>
      <c r="N46" s="15">
        <f>M46+K46</f>
        <v>0.27800000000000002</v>
      </c>
      <c r="O46" s="15"/>
      <c r="P46" s="15"/>
      <c r="Q46" s="15"/>
      <c r="R46" s="15"/>
      <c r="S46" s="16"/>
      <c r="T46" s="15" t="s">
        <v>499</v>
      </c>
      <c r="U46" s="15">
        <v>41.44</v>
      </c>
      <c r="V46" s="15">
        <v>0.8</v>
      </c>
      <c r="W46" s="15">
        <v>7.73</v>
      </c>
      <c r="X46" s="15">
        <f>W46+V46</f>
        <v>8.5300000000000011</v>
      </c>
      <c r="Y46" s="15">
        <v>73.75</v>
      </c>
      <c r="Z46" s="15">
        <v>235.38</v>
      </c>
      <c r="AA46" s="15"/>
      <c r="AB46" s="15">
        <v>201.4</v>
      </c>
      <c r="AC46" s="15"/>
      <c r="AD46" s="15"/>
      <c r="AE46" s="15">
        <v>0.51</v>
      </c>
      <c r="AF46" s="127" t="s">
        <v>20</v>
      </c>
      <c r="AG46" s="17">
        <v>46089</v>
      </c>
      <c r="AH46" s="17">
        <f>AG46+3</f>
        <v>46092</v>
      </c>
      <c r="AI46" s="17">
        <v>46094</v>
      </c>
      <c r="AJ46" s="17">
        <v>46095</v>
      </c>
      <c r="AK46" s="15" t="s">
        <v>700</v>
      </c>
      <c r="AL46" s="127" t="s">
        <v>20</v>
      </c>
      <c r="AM46" s="15" t="s">
        <v>6</v>
      </c>
      <c r="AN46" s="121"/>
      <c r="AO46" s="121"/>
      <c r="AP46" s="24"/>
      <c r="AQ46" s="127" t="s">
        <v>20</v>
      </c>
      <c r="AR46" s="17">
        <v>46099</v>
      </c>
      <c r="AS46" s="17">
        <v>46101</v>
      </c>
      <c r="AT46" s="17" t="s">
        <v>737</v>
      </c>
      <c r="AU46" s="15"/>
      <c r="AV46" s="127" t="s">
        <v>20</v>
      </c>
      <c r="AW46" s="15"/>
      <c r="AX46" s="15"/>
      <c r="AY46" s="15"/>
      <c r="AZ46" s="15"/>
      <c r="BA46" s="15"/>
    </row>
    <row r="47" spans="1:53" customFormat="1" ht="14.25" customHeight="1">
      <c r="A47" s="15"/>
      <c r="B47" s="484"/>
      <c r="C47" s="484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249.82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5">A46+1</f>
        <v>19</v>
      </c>
      <c r="B48" s="501" t="s">
        <v>106</v>
      </c>
      <c r="C48" s="484" t="s">
        <v>34</v>
      </c>
      <c r="D48" s="162">
        <v>10.82</v>
      </c>
      <c r="E48" s="162">
        <f>D48*4</f>
        <v>43.28</v>
      </c>
      <c r="F48" s="16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499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27" t="s">
        <v>20</v>
      </c>
      <c r="AG48" s="17">
        <v>46041</v>
      </c>
      <c r="AH48" s="17">
        <v>46042</v>
      </c>
      <c r="AI48" s="17">
        <v>46045</v>
      </c>
      <c r="AJ48" s="17">
        <v>46047</v>
      </c>
      <c r="AK48" s="15" t="s">
        <v>700</v>
      </c>
      <c r="AL48" s="127" t="s">
        <v>20</v>
      </c>
      <c r="AM48" s="25" t="s">
        <v>6</v>
      </c>
      <c r="AN48" s="121"/>
      <c r="AO48" s="121"/>
      <c r="AP48" s="19"/>
      <c r="AQ48" s="127" t="s">
        <v>20</v>
      </c>
      <c r="AR48" s="17">
        <v>46059</v>
      </c>
      <c r="AS48" s="17">
        <v>46061</v>
      </c>
      <c r="AT48" s="15" t="s">
        <v>693</v>
      </c>
      <c r="AU48" s="15"/>
      <c r="AV48" s="127" t="s">
        <v>20</v>
      </c>
      <c r="AW48" s="15"/>
      <c r="AX48" s="15"/>
      <c r="AY48" s="15"/>
      <c r="AZ48" s="15"/>
      <c r="BA48" s="15"/>
    </row>
    <row r="49" spans="1:53" customFormat="1" ht="14.1" customHeight="1">
      <c r="A49" s="15"/>
      <c r="B49" s="484"/>
      <c r="C49" s="484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329.66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6">A48+1</f>
        <v>20</v>
      </c>
      <c r="B50" s="501" t="s">
        <v>111</v>
      </c>
      <c r="C50" s="484" t="s">
        <v>51</v>
      </c>
      <c r="D50" s="162">
        <v>10.82</v>
      </c>
      <c r="E50" s="162">
        <f>D50*4</f>
        <v>43.28</v>
      </c>
      <c r="F50" s="162">
        <f>E50*8</f>
        <v>346.24</v>
      </c>
      <c r="G50" s="15">
        <f>4.906+2.484+0.596</f>
        <v>7.9859999999999998</v>
      </c>
      <c r="H50" s="15">
        <f>0.066+1.044+0.272</f>
        <v>1.3820000000000001</v>
      </c>
      <c r="I50" s="15">
        <f>0.274+0.132+0.043</f>
        <v>0.44900000000000001</v>
      </c>
      <c r="J50" s="15">
        <f>SUM(G50:I50)</f>
        <v>9.8170000000000002</v>
      </c>
      <c r="K50" s="15">
        <v>0.53200000000000003</v>
      </c>
      <c r="L50" s="15"/>
      <c r="M50" s="15">
        <v>1.0999999999999999E-2</v>
      </c>
      <c r="N50" s="15">
        <f>K50+M50</f>
        <v>0.54300000000000004</v>
      </c>
      <c r="O50" s="15"/>
      <c r="P50" s="15"/>
      <c r="Q50" s="15"/>
      <c r="R50" s="15"/>
      <c r="S50" s="16"/>
      <c r="T50" s="15" t="s">
        <v>499</v>
      </c>
      <c r="U50" s="15">
        <v>75.36</v>
      </c>
      <c r="V50" s="15">
        <v>1.35</v>
      </c>
      <c r="W50" s="15">
        <v>13.06</v>
      </c>
      <c r="X50" s="15">
        <f>V50+W50</f>
        <v>14.41</v>
      </c>
      <c r="Y50" s="15">
        <v>89.9</v>
      </c>
      <c r="Z50" s="15"/>
      <c r="AA50" s="15">
        <v>1287.27</v>
      </c>
      <c r="AB50" s="15">
        <v>193.64</v>
      </c>
      <c r="AC50" s="15"/>
      <c r="AD50" s="15"/>
      <c r="AE50" s="15">
        <v>1.571</v>
      </c>
      <c r="AF50" s="127" t="s">
        <v>20</v>
      </c>
      <c r="AG50" s="17">
        <v>46033</v>
      </c>
      <c r="AH50" s="17">
        <v>46035</v>
      </c>
      <c r="AI50" s="17">
        <v>46036</v>
      </c>
      <c r="AJ50" s="17">
        <v>46043</v>
      </c>
      <c r="AK50" s="15" t="s">
        <v>700</v>
      </c>
      <c r="AL50" s="127" t="s">
        <v>20</v>
      </c>
      <c r="AM50" s="25" t="s">
        <v>6</v>
      </c>
      <c r="AN50" s="121"/>
      <c r="AO50" s="121"/>
      <c r="AP50" s="19"/>
      <c r="AQ50" s="127" t="s">
        <v>20</v>
      </c>
      <c r="AR50" s="17">
        <v>46054</v>
      </c>
      <c r="AS50" s="17">
        <v>46056</v>
      </c>
      <c r="AT50" s="15" t="s">
        <v>693</v>
      </c>
      <c r="AU50" s="17"/>
      <c r="AV50" s="12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484"/>
      <c r="C51" s="484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170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7">A50+1</f>
        <v>21</v>
      </c>
      <c r="B52" s="501" t="s">
        <v>320</v>
      </c>
      <c r="C52" s="484" t="s">
        <v>51</v>
      </c>
      <c r="D52" s="162">
        <v>7.6219999999999999</v>
      </c>
      <c r="E52" s="162">
        <f>D52*4</f>
        <v>30.488</v>
      </c>
      <c r="F52" s="162">
        <f>E52*8</f>
        <v>243.904</v>
      </c>
      <c r="G52" s="15">
        <f>1.267+1.845+0.234</f>
        <v>3.3460000000000001</v>
      </c>
      <c r="H52" s="15">
        <f>1.137+0.646+0.273</f>
        <v>2.056</v>
      </c>
      <c r="I52" s="15">
        <f>0.182+0.091+0.032</f>
        <v>0.30500000000000005</v>
      </c>
      <c r="J52" s="15">
        <f>SUM(G52:I52)</f>
        <v>5.7069999999999999</v>
      </c>
      <c r="K52" s="15">
        <v>0.27100000000000002</v>
      </c>
      <c r="L52" s="15"/>
      <c r="M52" s="15">
        <v>7.0000000000000001E-3</v>
      </c>
      <c r="N52" s="15">
        <f>M52+K52</f>
        <v>0.27800000000000002</v>
      </c>
      <c r="O52" s="15"/>
      <c r="P52" s="15"/>
      <c r="Q52" s="15"/>
      <c r="R52" s="15"/>
      <c r="S52" s="16"/>
      <c r="T52" s="15" t="s">
        <v>536</v>
      </c>
      <c r="U52" s="15">
        <v>41.44</v>
      </c>
      <c r="V52" s="15">
        <v>0.8</v>
      </c>
      <c r="W52" s="15">
        <v>7.73</v>
      </c>
      <c r="X52" s="15">
        <f>W52+V52</f>
        <v>8.5300000000000011</v>
      </c>
      <c r="Y52" s="15">
        <v>73.75</v>
      </c>
      <c r="Z52" s="15">
        <v>235.38</v>
      </c>
      <c r="AA52" s="15"/>
      <c r="AB52" s="15">
        <v>201.4</v>
      </c>
      <c r="AC52" s="15"/>
      <c r="AD52" s="15"/>
      <c r="AE52" s="15">
        <v>0.51</v>
      </c>
      <c r="AF52" s="127" t="s">
        <v>20</v>
      </c>
      <c r="AG52" s="17">
        <v>46036</v>
      </c>
      <c r="AH52" s="17">
        <v>46038</v>
      </c>
      <c r="AI52" s="17">
        <v>46040</v>
      </c>
      <c r="AJ52" s="17">
        <v>46043</v>
      </c>
      <c r="AK52" s="15" t="s">
        <v>700</v>
      </c>
      <c r="AL52" s="127" t="s">
        <v>20</v>
      </c>
      <c r="AM52" s="25" t="s">
        <v>6</v>
      </c>
      <c r="AN52" s="121"/>
      <c r="AO52" s="121"/>
      <c r="AP52" s="19"/>
      <c r="AQ52" s="127" t="s">
        <v>20</v>
      </c>
      <c r="AR52" s="17">
        <v>46057</v>
      </c>
      <c r="AS52" s="17">
        <v>46059</v>
      </c>
      <c r="AT52" s="15" t="s">
        <v>693</v>
      </c>
      <c r="AU52" s="17"/>
      <c r="AV52" s="12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484"/>
      <c r="C53" s="484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312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.25" customHeight="1">
      <c r="A54" s="15">
        <f t="shared" ref="A54" si="18">A52+1</f>
        <v>22</v>
      </c>
      <c r="B54" s="15" t="s">
        <v>322</v>
      </c>
      <c r="C54" s="15" t="s">
        <v>62</v>
      </c>
      <c r="D54" s="162">
        <v>11.987</v>
      </c>
      <c r="E54" s="162">
        <f>D54*4</f>
        <v>47.948</v>
      </c>
      <c r="F54" s="16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501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27" t="s">
        <v>20</v>
      </c>
      <c r="AG54" s="17">
        <v>45988</v>
      </c>
      <c r="AH54" s="17">
        <v>45992</v>
      </c>
      <c r="AI54" s="17">
        <v>45996</v>
      </c>
      <c r="AJ54" s="17">
        <v>46004</v>
      </c>
      <c r="AK54" s="273" t="s">
        <v>680</v>
      </c>
      <c r="AL54" s="127" t="s">
        <v>20</v>
      </c>
      <c r="AM54" s="25" t="s">
        <v>6</v>
      </c>
      <c r="AN54" s="24"/>
      <c r="AO54" s="24"/>
      <c r="AP54" s="24"/>
      <c r="AQ54" s="127" t="s">
        <v>20</v>
      </c>
      <c r="AR54" s="17" t="s">
        <v>690</v>
      </c>
      <c r="AS54" s="17" t="s">
        <v>691</v>
      </c>
      <c r="AT54" s="15" t="s">
        <v>693</v>
      </c>
      <c r="AU54" s="17"/>
      <c r="AV54" s="12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215.13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1" customHeight="1">
      <c r="A56" s="15">
        <f t="shared" ref="A56" si="19">A54+1</f>
        <v>23</v>
      </c>
      <c r="B56" s="15" t="s">
        <v>324</v>
      </c>
      <c r="C56" s="15" t="s">
        <v>62</v>
      </c>
      <c r="D56" s="162">
        <v>11.987</v>
      </c>
      <c r="E56" s="162">
        <f>D56*4</f>
        <v>47.948</v>
      </c>
      <c r="F56" s="162">
        <f>E56*8</f>
        <v>383.584</v>
      </c>
      <c r="G56" s="15">
        <f>4.906+4.424+0.596</f>
        <v>9.9260000000000002</v>
      </c>
      <c r="H56" s="15">
        <f>0.066+1.053+0.272</f>
        <v>1.391</v>
      </c>
      <c r="I56" s="15">
        <f>0.274+0.181+0.043</f>
        <v>0.498</v>
      </c>
      <c r="J56" s="15">
        <f>SUM(G56:I56)</f>
        <v>11.815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>
        <v>3</v>
      </c>
      <c r="P56" s="15">
        <v>3</v>
      </c>
      <c r="Q56" s="15">
        <v>3</v>
      </c>
      <c r="R56" s="15">
        <v>3</v>
      </c>
      <c r="S56" s="16"/>
      <c r="T56" s="15" t="s">
        <v>536</v>
      </c>
      <c r="U56" s="15">
        <v>230.76</v>
      </c>
      <c r="V56" s="15">
        <v>3.77</v>
      </c>
      <c r="W56" s="15">
        <v>38.65</v>
      </c>
      <c r="X56" s="15">
        <f>W56+V56</f>
        <v>42.42</v>
      </c>
      <c r="Y56" s="15">
        <v>184.2</v>
      </c>
      <c r="Z56" s="15">
        <v>1264.5899999999999</v>
      </c>
      <c r="AA56" s="15"/>
      <c r="AB56" s="15"/>
      <c r="AC56" s="15">
        <v>832.39</v>
      </c>
      <c r="AD56" s="15"/>
      <c r="AE56" s="15">
        <v>2.2810000000000001</v>
      </c>
      <c r="AF56" s="127" t="s">
        <v>20</v>
      </c>
      <c r="AG56" s="17">
        <v>45998</v>
      </c>
      <c r="AH56" s="17">
        <v>46001</v>
      </c>
      <c r="AI56" s="17">
        <v>46003</v>
      </c>
      <c r="AJ56" s="17">
        <v>46007</v>
      </c>
      <c r="AK56" s="273" t="s">
        <v>680</v>
      </c>
      <c r="AL56" s="127" t="s">
        <v>20</v>
      </c>
      <c r="AM56" s="25" t="s">
        <v>6</v>
      </c>
      <c r="AN56" s="121"/>
      <c r="AO56" s="121"/>
      <c r="AP56" s="19"/>
      <c r="AQ56" s="127" t="s">
        <v>20</v>
      </c>
      <c r="AR56" s="17">
        <v>46033</v>
      </c>
      <c r="AS56" s="17">
        <v>46039</v>
      </c>
      <c r="AT56" s="15" t="s">
        <v>693</v>
      </c>
      <c r="AU56" s="17"/>
      <c r="AV56" s="12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316.14999999999998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0">A56+1</f>
        <v>24</v>
      </c>
      <c r="B58" s="15" t="s">
        <v>326</v>
      </c>
      <c r="C58" s="15" t="s">
        <v>34</v>
      </c>
      <c r="D58" s="162">
        <v>9.6539999999999999</v>
      </c>
      <c r="E58" s="162">
        <f>D58*4</f>
        <v>38.616</v>
      </c>
      <c r="F58" s="162">
        <f>E58*8</f>
        <v>308.928</v>
      </c>
      <c r="G58" s="15">
        <f>4.906+1.456+0.596</f>
        <v>6.9580000000000002</v>
      </c>
      <c r="H58" s="15">
        <f>0.066+0.717+0.272</f>
        <v>1.0549999999999999</v>
      </c>
      <c r="I58" s="15">
        <f>0.274+0.083+0.043</f>
        <v>0.4</v>
      </c>
      <c r="J58" s="15">
        <f>SUM(G58:I58)</f>
        <v>8.4130000000000003</v>
      </c>
      <c r="K58" s="15">
        <v>0.53200000000000003</v>
      </c>
      <c r="L58" s="15"/>
      <c r="M58" s="15">
        <v>1.0999999999999999E-2</v>
      </c>
      <c r="N58" s="15">
        <f>K58+M58</f>
        <v>0.54300000000000004</v>
      </c>
      <c r="O58" s="15"/>
      <c r="P58" s="15"/>
      <c r="Q58" s="15"/>
      <c r="R58" s="15"/>
      <c r="S58" s="16"/>
      <c r="T58" s="15" t="s">
        <v>536</v>
      </c>
      <c r="U58" s="15">
        <v>75.36</v>
      </c>
      <c r="V58" s="15">
        <v>1.35</v>
      </c>
      <c r="W58" s="15">
        <v>13.06</v>
      </c>
      <c r="X58" s="15">
        <f>V58+W58</f>
        <v>14.41</v>
      </c>
      <c r="Y58" s="15">
        <v>70.930000000000007</v>
      </c>
      <c r="Z58" s="15">
        <v>900.95</v>
      </c>
      <c r="AA58" s="15"/>
      <c r="AB58" s="15">
        <v>96.82</v>
      </c>
      <c r="AC58" s="15">
        <v>151.27000000000001</v>
      </c>
      <c r="AD58" s="15"/>
      <c r="AE58" s="15">
        <v>1.22</v>
      </c>
      <c r="AF58" s="127" t="s">
        <v>20</v>
      </c>
      <c r="AG58" s="17">
        <v>45992</v>
      </c>
      <c r="AH58" s="17">
        <v>46001</v>
      </c>
      <c r="AI58" s="17">
        <v>46007</v>
      </c>
      <c r="AJ58" s="17">
        <v>46008</v>
      </c>
      <c r="AK58" s="273" t="s">
        <v>680</v>
      </c>
      <c r="AL58" s="127" t="s">
        <v>20</v>
      </c>
      <c r="AM58" s="25" t="s">
        <v>6</v>
      </c>
      <c r="AN58" s="121"/>
      <c r="AO58" s="121"/>
      <c r="AP58" s="19"/>
      <c r="AQ58" s="127" t="s">
        <v>20</v>
      </c>
      <c r="AR58" s="17">
        <v>46028</v>
      </c>
      <c r="AS58" s="17">
        <v>46029</v>
      </c>
      <c r="AT58" s="15" t="s">
        <v>693</v>
      </c>
      <c r="AU58" s="17"/>
      <c r="AV58" s="127" t="s">
        <v>20</v>
      </c>
      <c r="AW58" s="17"/>
      <c r="AX58" s="17"/>
      <c r="AY58" s="17"/>
      <c r="AZ58" s="15"/>
      <c r="BA58" s="15"/>
    </row>
    <row r="59" spans="1:53" customFormat="1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4.25" customHeight="1">
      <c r="A60" s="15">
        <f t="shared" ref="A60" si="21">A58+1</f>
        <v>25</v>
      </c>
      <c r="B60" s="502" t="s">
        <v>328</v>
      </c>
      <c r="C60" s="15" t="s">
        <v>37</v>
      </c>
      <c r="D60" s="162">
        <v>6.992</v>
      </c>
      <c r="E60" s="162">
        <f>D60*4</f>
        <v>27.968</v>
      </c>
      <c r="F60" s="162">
        <f>E60*8</f>
        <v>223.744</v>
      </c>
      <c r="G60" s="15">
        <f>1.267+0.234+1.276</f>
        <v>2.7770000000000001</v>
      </c>
      <c r="H60" s="15">
        <f>1.137+0.487+0.273</f>
        <v>1.8970000000000002</v>
      </c>
      <c r="I60" s="15">
        <f>0.182+0.074+0.032</f>
        <v>0.28800000000000003</v>
      </c>
      <c r="J60" s="15">
        <f>SUM(G60:I60)</f>
        <v>4.9620000000000006</v>
      </c>
      <c r="K60" s="15">
        <v>0.27100000000000002</v>
      </c>
      <c r="L60" s="15"/>
      <c r="M60" s="15">
        <v>7.0000000000000001E-3</v>
      </c>
      <c r="N60" s="15">
        <f>M60+K60</f>
        <v>0.27800000000000002</v>
      </c>
      <c r="O60" s="125"/>
      <c r="P60" s="125"/>
      <c r="Q60" s="125"/>
      <c r="R60" s="125"/>
      <c r="S60" s="16"/>
      <c r="T60" s="15" t="s">
        <v>536</v>
      </c>
      <c r="U60" s="15">
        <v>41.44</v>
      </c>
      <c r="V60" s="15">
        <v>0.8</v>
      </c>
      <c r="W60" s="15">
        <v>7.73</v>
      </c>
      <c r="X60" s="15">
        <f>W60+V60</f>
        <v>8.5300000000000011</v>
      </c>
      <c r="Y60" s="15">
        <v>73.75</v>
      </c>
      <c r="Z60" s="15">
        <v>564.37</v>
      </c>
      <c r="AA60" s="15"/>
      <c r="AB60" s="15">
        <v>201.4</v>
      </c>
      <c r="AC60" s="15"/>
      <c r="AD60" s="15"/>
      <c r="AE60" s="15">
        <v>0.84</v>
      </c>
      <c r="AF60" s="127" t="s">
        <v>20</v>
      </c>
      <c r="AG60" s="17">
        <v>46028</v>
      </c>
      <c r="AH60" s="17">
        <v>46029</v>
      </c>
      <c r="AI60" s="17">
        <v>46031</v>
      </c>
      <c r="AJ60" s="17">
        <v>46032</v>
      </c>
      <c r="AK60" s="15" t="s">
        <v>700</v>
      </c>
      <c r="AL60" s="127" t="s">
        <v>20</v>
      </c>
      <c r="AM60" s="25" t="s">
        <v>6</v>
      </c>
      <c r="AN60" s="121"/>
      <c r="AO60" s="121"/>
      <c r="AP60" s="24"/>
      <c r="AQ60" s="127" t="s">
        <v>20</v>
      </c>
      <c r="AR60" s="17">
        <v>46052</v>
      </c>
      <c r="AS60" s="17">
        <v>46053</v>
      </c>
      <c r="AT60" s="15" t="s">
        <v>693</v>
      </c>
      <c r="AU60" s="15"/>
      <c r="AV60" s="127" t="s">
        <v>20</v>
      </c>
      <c r="AW60" s="17"/>
      <c r="AX60" s="17"/>
      <c r="AY60" s="17"/>
      <c r="AZ60" s="15"/>
      <c r="BA60" s="15"/>
    </row>
    <row r="61" spans="1:53" customFormat="1" ht="14.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267.185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2.95" customHeight="1">
      <c r="A62" s="15">
        <f t="shared" ref="A62" si="22">A60+1</f>
        <v>26</v>
      </c>
      <c r="B62" s="15" t="s">
        <v>329</v>
      </c>
      <c r="C62" s="15" t="s">
        <v>34</v>
      </c>
      <c r="D62" s="162">
        <v>9.6539999999999999</v>
      </c>
      <c r="E62" s="162">
        <f>D62*4</f>
        <v>38.616</v>
      </c>
      <c r="F62" s="162">
        <f>E62*8</f>
        <v>308.928</v>
      </c>
      <c r="G62" s="15">
        <f>4.906+1.456+0.596</f>
        <v>6.9580000000000002</v>
      </c>
      <c r="H62" s="15">
        <f>0.066+0.717+0.272</f>
        <v>1.0549999999999999</v>
      </c>
      <c r="I62" s="15">
        <f>0.274+0.083+0.043</f>
        <v>0.4</v>
      </c>
      <c r="J62" s="15">
        <f>SUM(G62:I62)</f>
        <v>8.4130000000000003</v>
      </c>
      <c r="K62" s="15">
        <v>0.53200000000000003</v>
      </c>
      <c r="L62" s="15"/>
      <c r="M62" s="15">
        <v>1.0999999999999999E-2</v>
      </c>
      <c r="N62" s="15">
        <f>K62+M62</f>
        <v>0.54300000000000004</v>
      </c>
      <c r="O62" s="15"/>
      <c r="P62" s="15"/>
      <c r="Q62" s="15"/>
      <c r="R62" s="15"/>
      <c r="S62" s="16"/>
      <c r="T62" s="15" t="s">
        <v>499</v>
      </c>
      <c r="U62" s="15">
        <v>75.36</v>
      </c>
      <c r="V62" s="15">
        <v>1.35</v>
      </c>
      <c r="W62" s="15">
        <v>13.06</v>
      </c>
      <c r="X62" s="15">
        <f>V62+W62</f>
        <v>14.41</v>
      </c>
      <c r="Y62" s="15">
        <v>70.930000000000007</v>
      </c>
      <c r="Z62" s="15">
        <v>900.95</v>
      </c>
      <c r="AA62" s="15"/>
      <c r="AB62" s="15">
        <v>96.82</v>
      </c>
      <c r="AC62" s="15">
        <v>151.27000000000001</v>
      </c>
      <c r="AD62" s="15"/>
      <c r="AE62" s="15">
        <v>1.22</v>
      </c>
      <c r="AF62" s="127" t="s">
        <v>20</v>
      </c>
      <c r="AG62" s="17">
        <v>46010</v>
      </c>
      <c r="AH62" s="17">
        <v>46013</v>
      </c>
      <c r="AI62" s="17">
        <v>46015</v>
      </c>
      <c r="AJ62" s="17">
        <v>46016</v>
      </c>
      <c r="AK62" s="273" t="s">
        <v>680</v>
      </c>
      <c r="AL62" s="127" t="s">
        <v>20</v>
      </c>
      <c r="AM62" s="25" t="s">
        <v>6</v>
      </c>
      <c r="AN62" s="121"/>
      <c r="AO62" s="121"/>
      <c r="AP62" s="24"/>
      <c r="AQ62" s="127" t="s">
        <v>20</v>
      </c>
      <c r="AR62" s="17">
        <v>46025</v>
      </c>
      <c r="AS62" s="17">
        <v>46027</v>
      </c>
      <c r="AT62" s="15" t="s">
        <v>693</v>
      </c>
      <c r="AU62" s="17"/>
      <c r="AV62" s="127" t="s">
        <v>20</v>
      </c>
      <c r="AW62" s="15"/>
      <c r="AX62" s="15"/>
      <c r="AY62" s="15"/>
      <c r="AZ62" s="15"/>
      <c r="BA62" s="15"/>
    </row>
    <row r="63" spans="1:53" customFormat="1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87.412000000000006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3">A62+1</f>
        <v>27</v>
      </c>
      <c r="B64" s="122" t="s">
        <v>167</v>
      </c>
      <c r="C64" s="15" t="s">
        <v>500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536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27" t="s">
        <v>20</v>
      </c>
      <c r="AG64" s="17">
        <v>46016</v>
      </c>
      <c r="AH64" s="17">
        <v>46020</v>
      </c>
      <c r="AI64" s="17">
        <v>46032</v>
      </c>
      <c r="AJ64" s="17">
        <v>46036</v>
      </c>
      <c r="AK64" s="273" t="s">
        <v>680</v>
      </c>
      <c r="AL64" s="127" t="s">
        <v>20</v>
      </c>
      <c r="AM64" s="25" t="s">
        <v>6</v>
      </c>
      <c r="AN64" s="121"/>
      <c r="AO64" s="121"/>
      <c r="AP64" s="24"/>
      <c r="AQ64" s="127" t="s">
        <v>20</v>
      </c>
      <c r="AR64" s="17">
        <v>46050</v>
      </c>
      <c r="AS64" s="17">
        <v>46051</v>
      </c>
      <c r="AT64" s="15" t="s">
        <v>693</v>
      </c>
      <c r="AU64" s="15"/>
      <c r="AV64" s="127" t="s">
        <v>20</v>
      </c>
      <c r="AW64" s="15"/>
      <c r="AX64" s="15"/>
      <c r="AY64" s="15"/>
      <c r="AZ64" s="15"/>
      <c r="BA64" s="15"/>
    </row>
    <row r="65" spans="1:53" customFormat="1" ht="14.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66.460999999999999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4">A64+1</f>
        <v>28</v>
      </c>
      <c r="B66" s="122" t="s">
        <v>331</v>
      </c>
      <c r="C66" s="15" t="s">
        <v>500</v>
      </c>
      <c r="D66" s="15"/>
      <c r="E66" s="15"/>
      <c r="F66" s="15">
        <v>54</v>
      </c>
      <c r="G66" s="15"/>
      <c r="H66" s="15">
        <v>4.1059999999999999</v>
      </c>
      <c r="I66" s="15">
        <v>0.23</v>
      </c>
      <c r="J66" s="15">
        <f>SUM(G66:I66)</f>
        <v>4.3360000000000003</v>
      </c>
      <c r="K66" s="15"/>
      <c r="L66" s="15">
        <f>0.12+0.219</f>
        <v>0.33899999999999997</v>
      </c>
      <c r="M66" s="15">
        <f>0.003+0.003</f>
        <v>6.0000000000000001E-3</v>
      </c>
      <c r="N66" s="15">
        <f>SUM(K66:M66)</f>
        <v>0.34499999999999997</v>
      </c>
      <c r="O66" s="15"/>
      <c r="P66" s="15"/>
      <c r="Q66" s="15"/>
      <c r="R66" s="15"/>
      <c r="S66" s="16"/>
      <c r="T66" s="15" t="s">
        <v>536</v>
      </c>
      <c r="U66" s="15">
        <v>315</v>
      </c>
      <c r="V66" s="15">
        <v>4.0999999999999996</v>
      </c>
      <c r="W66" s="15">
        <v>42</v>
      </c>
      <c r="X66" s="15">
        <f>W66+V66</f>
        <v>46.1</v>
      </c>
      <c r="Y66" s="15"/>
      <c r="Z66" s="15"/>
      <c r="AA66" s="15"/>
      <c r="AB66" s="15"/>
      <c r="AC66" s="15"/>
      <c r="AD66" s="15"/>
      <c r="AE66" s="15">
        <v>3.95</v>
      </c>
      <c r="AF66" s="127" t="s">
        <v>20</v>
      </c>
      <c r="AG66" s="17">
        <v>46020</v>
      </c>
      <c r="AH66" s="17">
        <v>46024</v>
      </c>
      <c r="AI66" s="17">
        <v>46025</v>
      </c>
      <c r="AJ66" s="17">
        <v>46032</v>
      </c>
      <c r="AK66" s="15" t="s">
        <v>689</v>
      </c>
      <c r="AL66" s="127" t="s">
        <v>20</v>
      </c>
      <c r="AM66" s="25" t="s">
        <v>6</v>
      </c>
      <c r="AN66" s="121"/>
      <c r="AO66" s="121"/>
      <c r="AP66" s="24"/>
      <c r="AQ66" s="127" t="s">
        <v>20</v>
      </c>
      <c r="AR66" s="17">
        <v>46046</v>
      </c>
      <c r="AS66" s="17">
        <v>46049</v>
      </c>
      <c r="AT66" s="15" t="s">
        <v>693</v>
      </c>
      <c r="AU66" s="17"/>
      <c r="AV66" s="127" t="s">
        <v>20</v>
      </c>
      <c r="AW66" s="17"/>
      <c r="AX66" s="17"/>
      <c r="AY66" s="17"/>
      <c r="AZ66" s="15"/>
      <c r="BA66" s="15"/>
    </row>
    <row r="67" spans="1:53" customFormat="1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56.381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5">A66+1</f>
        <v>29</v>
      </c>
      <c r="B68" s="15" t="s">
        <v>332</v>
      </c>
      <c r="C68" s="15" t="s">
        <v>62</v>
      </c>
      <c r="D68" s="162">
        <v>11.987</v>
      </c>
      <c r="E68" s="162">
        <f>D68*4</f>
        <v>47.948</v>
      </c>
      <c r="F68" s="162">
        <f>E68*8</f>
        <v>383.584</v>
      </c>
      <c r="G68" s="15">
        <f>4.906+4.424+0.596</f>
        <v>9.9260000000000002</v>
      </c>
      <c r="H68" s="15">
        <f>0.066+1.053+0.272</f>
        <v>1.391</v>
      </c>
      <c r="I68" s="15">
        <f>0.274+0.181+0.043</f>
        <v>0.498</v>
      </c>
      <c r="J68" s="15">
        <f>SUM(G68:I68)</f>
        <v>11.815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499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27" t="s">
        <v>20</v>
      </c>
      <c r="AG68" s="17">
        <v>46013</v>
      </c>
      <c r="AH68" s="17">
        <v>46015</v>
      </c>
      <c r="AI68" s="17">
        <v>46018</v>
      </c>
      <c r="AJ68" s="17">
        <v>46019</v>
      </c>
      <c r="AK68" s="15" t="s">
        <v>689</v>
      </c>
      <c r="AL68" s="127" t="s">
        <v>20</v>
      </c>
      <c r="AM68" s="25" t="s">
        <v>6</v>
      </c>
      <c r="AN68" s="121"/>
      <c r="AO68" s="121"/>
      <c r="AP68" s="24"/>
      <c r="AQ68" s="127" t="s">
        <v>20</v>
      </c>
      <c r="AR68" s="17">
        <v>46030</v>
      </c>
      <c r="AS68" s="17">
        <v>46032</v>
      </c>
      <c r="AT68" s="15" t="s">
        <v>693</v>
      </c>
      <c r="AU68" s="17"/>
      <c r="AV68" s="127" t="s">
        <v>20</v>
      </c>
      <c r="AW68" s="15"/>
      <c r="AX68" s="15"/>
      <c r="AY68" s="15"/>
      <c r="AZ68" s="15"/>
      <c r="BA68" s="15"/>
    </row>
    <row r="69" spans="1:53" customFormat="1" ht="14.25" customHeight="1">
      <c r="A69" s="15"/>
      <c r="B69" s="15"/>
      <c r="C69" s="15"/>
      <c r="D69" s="126"/>
      <c r="E69" s="126"/>
      <c r="F69" s="126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224.23099999999999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6">A68+1</f>
        <v>30</v>
      </c>
      <c r="B70" s="495" t="s">
        <v>334</v>
      </c>
      <c r="C70" s="15" t="s">
        <v>51</v>
      </c>
      <c r="D70" s="162">
        <v>10.82</v>
      </c>
      <c r="E70" s="162">
        <f>D70*4</f>
        <v>43.28</v>
      </c>
      <c r="F70" s="162">
        <f>E70*8</f>
        <v>346.24</v>
      </c>
      <c r="G70" s="15">
        <f>4.906+2.484+0.596</f>
        <v>7.9859999999999998</v>
      </c>
      <c r="H70" s="15">
        <f>0.066+1.044+0.272</f>
        <v>1.3820000000000001</v>
      </c>
      <c r="I70" s="15">
        <f>0.274+0.132+0.043</f>
        <v>0.44900000000000001</v>
      </c>
      <c r="J70" s="15">
        <f>SUM(G70:I70)</f>
        <v>9.8170000000000002</v>
      </c>
      <c r="K70" s="15">
        <v>0.53200000000000003</v>
      </c>
      <c r="L70" s="15"/>
      <c r="M70" s="15">
        <v>1.0999999999999999E-2</v>
      </c>
      <c r="N70" s="15">
        <f>K70+M70</f>
        <v>0.54300000000000004</v>
      </c>
      <c r="O70" s="15"/>
      <c r="P70" s="15"/>
      <c r="Q70" s="15"/>
      <c r="R70" s="15"/>
      <c r="S70" s="16"/>
      <c r="T70" s="15" t="s">
        <v>499</v>
      </c>
      <c r="U70" s="15">
        <v>75.36</v>
      </c>
      <c r="V70" s="15">
        <v>1.35</v>
      </c>
      <c r="W70" s="15">
        <v>13.06</v>
      </c>
      <c r="X70" s="15">
        <f>V70+W70</f>
        <v>14.41</v>
      </c>
      <c r="Y70" s="15">
        <v>70.930000000000007</v>
      </c>
      <c r="Z70" s="15">
        <v>900.95</v>
      </c>
      <c r="AA70" s="15"/>
      <c r="AB70" s="15">
        <v>96.82</v>
      </c>
      <c r="AC70" s="15">
        <v>151.27000000000001</v>
      </c>
      <c r="AD70" s="15"/>
      <c r="AE70" s="15">
        <v>1.22</v>
      </c>
      <c r="AF70" s="127" t="s">
        <v>20</v>
      </c>
      <c r="AG70" s="17">
        <v>46054</v>
      </c>
      <c r="AH70" s="17">
        <v>46056</v>
      </c>
      <c r="AI70" s="17">
        <v>46061</v>
      </c>
      <c r="AJ70" s="17">
        <v>46063</v>
      </c>
      <c r="AK70" s="15" t="s">
        <v>700</v>
      </c>
      <c r="AL70" s="127" t="s">
        <v>20</v>
      </c>
      <c r="AM70" s="15"/>
      <c r="AN70" s="121"/>
      <c r="AO70" s="121"/>
      <c r="AP70" s="24"/>
      <c r="AQ70" s="127" t="s">
        <v>20</v>
      </c>
      <c r="AR70" s="17">
        <v>46073</v>
      </c>
      <c r="AS70" s="17">
        <v>46077</v>
      </c>
      <c r="AT70" s="15" t="s">
        <v>693</v>
      </c>
      <c r="AU70" s="17"/>
      <c r="AV70" s="12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276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7">A70+1</f>
        <v>31</v>
      </c>
      <c r="B72" s="502" t="s">
        <v>181</v>
      </c>
      <c r="C72" s="15" t="s">
        <v>42</v>
      </c>
      <c r="D72" s="162">
        <v>6.3620000000000001</v>
      </c>
      <c r="E72" s="162">
        <f>D72*4</f>
        <v>25.448</v>
      </c>
      <c r="F72" s="16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536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27" t="s">
        <v>20</v>
      </c>
      <c r="AG72" s="17">
        <v>46000</v>
      </c>
      <c r="AH72" s="17">
        <v>46004</v>
      </c>
      <c r="AI72" s="17">
        <v>46005</v>
      </c>
      <c r="AJ72" s="17">
        <v>46007</v>
      </c>
      <c r="AK72" s="15" t="s">
        <v>700</v>
      </c>
      <c r="AL72" s="127" t="s">
        <v>20</v>
      </c>
      <c r="AM72" s="25" t="s">
        <v>6</v>
      </c>
      <c r="AN72" s="121"/>
      <c r="AO72" s="121"/>
      <c r="AP72" s="24"/>
      <c r="AQ72" s="127" t="s">
        <v>20</v>
      </c>
      <c r="AR72" s="17" t="s">
        <v>692</v>
      </c>
      <c r="AS72" s="17">
        <v>46024</v>
      </c>
      <c r="AT72" s="15" t="s">
        <v>693</v>
      </c>
      <c r="AU72" s="17"/>
      <c r="AV72" s="12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244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8">A72+1</f>
        <v>32</v>
      </c>
      <c r="B74" s="122" t="s">
        <v>182</v>
      </c>
      <c r="C74" s="15" t="s">
        <v>42</v>
      </c>
      <c r="D74" s="162">
        <v>6.3620000000000001</v>
      </c>
      <c r="E74" s="162">
        <f>D74*4</f>
        <v>25.448</v>
      </c>
      <c r="F74" s="16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499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27" t="s">
        <v>20</v>
      </c>
      <c r="AG74" s="17">
        <v>46004</v>
      </c>
      <c r="AH74" s="17" t="s">
        <v>683</v>
      </c>
      <c r="AI74" s="17">
        <v>46005</v>
      </c>
      <c r="AJ74" s="17">
        <v>46006</v>
      </c>
      <c r="AK74" s="273" t="s">
        <v>680</v>
      </c>
      <c r="AL74" s="127" t="s">
        <v>20</v>
      </c>
      <c r="AM74" s="25" t="s">
        <v>6</v>
      </c>
      <c r="AN74" s="121"/>
      <c r="AO74" s="121"/>
      <c r="AP74" s="24"/>
      <c r="AQ74" s="127" t="s">
        <v>20</v>
      </c>
      <c r="AR74" s="17">
        <v>46018</v>
      </c>
      <c r="AS74" s="17">
        <v>46018</v>
      </c>
      <c r="AT74" s="15" t="s">
        <v>693</v>
      </c>
      <c r="AU74" s="17"/>
      <c r="AV74" s="127" t="s">
        <v>20</v>
      </c>
      <c r="AW74" s="17"/>
      <c r="AX74" s="17"/>
      <c r="AY74" s="17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241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29">A74+1</f>
        <v>33</v>
      </c>
      <c r="B76" s="502" t="s">
        <v>183</v>
      </c>
      <c r="C76" s="15" t="s">
        <v>42</v>
      </c>
      <c r="D76" s="162">
        <v>6.3620000000000001</v>
      </c>
      <c r="E76" s="162">
        <f>D76*4</f>
        <v>25.448</v>
      </c>
      <c r="F76" s="162">
        <f>E76*8</f>
        <v>203.584</v>
      </c>
      <c r="G76" s="15">
        <f>1.267+0.929+0.234</f>
        <v>2.4299999999999997</v>
      </c>
      <c r="H76" s="15">
        <f>1.137+0.231+0.273</f>
        <v>1.641</v>
      </c>
      <c r="I76" s="15">
        <f>0.182+0.054+0.032</f>
        <v>0.26800000000000002</v>
      </c>
      <c r="J76" s="15">
        <f>SUM(G76:I76)</f>
        <v>4.3389999999999995</v>
      </c>
      <c r="K76" s="15">
        <v>0.27100000000000002</v>
      </c>
      <c r="L76" s="15"/>
      <c r="M76" s="15">
        <v>7.0000000000000001E-3</v>
      </c>
      <c r="N76" s="15">
        <f>M76+K76</f>
        <v>0.27800000000000002</v>
      </c>
      <c r="O76" s="15"/>
      <c r="P76" s="15"/>
      <c r="Q76" s="15"/>
      <c r="R76" s="15"/>
      <c r="S76" s="16"/>
      <c r="T76" s="15" t="s">
        <v>536</v>
      </c>
      <c r="U76" s="15">
        <v>41.44</v>
      </c>
      <c r="V76" s="15">
        <v>0.8</v>
      </c>
      <c r="W76" s="15">
        <v>7.73</v>
      </c>
      <c r="X76" s="15">
        <f>W76+V76</f>
        <v>8.5300000000000011</v>
      </c>
      <c r="Y76" s="15">
        <v>73.75</v>
      </c>
      <c r="Z76" s="15">
        <v>564.37</v>
      </c>
      <c r="AA76" s="15"/>
      <c r="AB76" s="15">
        <v>201.4</v>
      </c>
      <c r="AC76" s="15"/>
      <c r="AD76" s="15"/>
      <c r="AE76" s="15">
        <v>0.84</v>
      </c>
      <c r="AF76" s="127" t="s">
        <v>20</v>
      </c>
      <c r="AG76" s="17">
        <v>45987</v>
      </c>
      <c r="AH76" s="17"/>
      <c r="AI76" s="17" t="s">
        <v>685</v>
      </c>
      <c r="AJ76" s="17" t="s">
        <v>688</v>
      </c>
      <c r="AK76" s="15" t="s">
        <v>700</v>
      </c>
      <c r="AL76" s="127" t="s">
        <v>20</v>
      </c>
      <c r="AM76" s="25" t="s">
        <v>6</v>
      </c>
      <c r="AN76" s="121"/>
      <c r="AO76" s="121"/>
      <c r="AP76" s="24"/>
      <c r="AQ76" s="127" t="s">
        <v>20</v>
      </c>
      <c r="AR76" s="17">
        <v>46016</v>
      </c>
      <c r="AS76" s="17">
        <v>46017</v>
      </c>
      <c r="AT76" s="15" t="s">
        <v>693</v>
      </c>
      <c r="AU76" s="15"/>
      <c r="AV76" s="127" t="s">
        <v>20</v>
      </c>
      <c r="AW76" s="15"/>
      <c r="AX76" s="15"/>
      <c r="AY76" s="15"/>
      <c r="AZ76" s="15"/>
      <c r="BA76" s="15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240.727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0">A76+1</f>
        <v>34</v>
      </c>
      <c r="B78" s="15" t="s">
        <v>336</v>
      </c>
      <c r="C78" s="15" t="s">
        <v>34</v>
      </c>
      <c r="D78" s="162">
        <v>9.6539999999999999</v>
      </c>
      <c r="E78" s="162">
        <f>D78*4</f>
        <v>38.616</v>
      </c>
      <c r="F78" s="162">
        <f>E78*8</f>
        <v>308.928</v>
      </c>
      <c r="G78" s="15">
        <f>4.906+1.456+0.596</f>
        <v>6.9580000000000002</v>
      </c>
      <c r="H78" s="15">
        <f>0.066+0.717+0.272</f>
        <v>1.0549999999999999</v>
      </c>
      <c r="I78" s="15">
        <f>0.274+0.083+0.043</f>
        <v>0.4</v>
      </c>
      <c r="J78" s="15">
        <f>SUM(G78:I78)</f>
        <v>8.4130000000000003</v>
      </c>
      <c r="K78" s="15">
        <v>0.53200000000000003</v>
      </c>
      <c r="L78" s="15"/>
      <c r="M78" s="15">
        <v>1.0999999999999999E-2</v>
      </c>
      <c r="N78" s="15">
        <f>K78+M78</f>
        <v>0.54300000000000004</v>
      </c>
      <c r="O78" s="15"/>
      <c r="P78" s="15"/>
      <c r="Q78" s="15"/>
      <c r="R78" s="15"/>
      <c r="S78" s="16"/>
      <c r="T78" s="15" t="s">
        <v>499</v>
      </c>
      <c r="U78" s="15">
        <v>75.36</v>
      </c>
      <c r="V78" s="15">
        <v>1.35</v>
      </c>
      <c r="W78" s="15">
        <v>13.06</v>
      </c>
      <c r="X78" s="15">
        <f>V78+W78</f>
        <v>14.41</v>
      </c>
      <c r="Y78" s="15">
        <v>70.930000000000007</v>
      </c>
      <c r="Z78" s="15">
        <v>900.95</v>
      </c>
      <c r="AA78" s="15"/>
      <c r="AB78" s="15">
        <v>96.82</v>
      </c>
      <c r="AC78" s="15">
        <v>151.27000000000001</v>
      </c>
      <c r="AD78" s="15"/>
      <c r="AE78" s="15">
        <v>1.22</v>
      </c>
      <c r="AF78" s="127" t="s">
        <v>20</v>
      </c>
      <c r="AG78" s="17">
        <f>AH78-3</f>
        <v>45946</v>
      </c>
      <c r="AH78" s="17">
        <f t="shared" ref="AH78:AI78" si="31">AI78-2</f>
        <v>45949</v>
      </c>
      <c r="AI78" s="17">
        <f t="shared" si="31"/>
        <v>45951</v>
      </c>
      <c r="AJ78" s="17">
        <v>45953</v>
      </c>
      <c r="AK78" s="273" t="s">
        <v>680</v>
      </c>
      <c r="AL78" s="127" t="s">
        <v>20</v>
      </c>
      <c r="AM78" s="25" t="s">
        <v>6</v>
      </c>
      <c r="AN78" s="121"/>
      <c r="AO78" s="121"/>
      <c r="AP78" s="24"/>
      <c r="AQ78" s="127" t="s">
        <v>20</v>
      </c>
      <c r="AR78" s="17">
        <v>45973</v>
      </c>
      <c r="AS78" s="17" t="s">
        <v>684</v>
      </c>
      <c r="AT78" s="15" t="s">
        <v>693</v>
      </c>
      <c r="AU78" s="15"/>
      <c r="AV78" s="127" t="s">
        <v>20</v>
      </c>
      <c r="AW78" s="17"/>
      <c r="AX78" s="17"/>
      <c r="AY78" s="17"/>
      <c r="AZ78" s="15"/>
      <c r="BA78" s="17"/>
    </row>
    <row r="79" spans="1:53" customFormat="1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>
        <v>48</v>
      </c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2">A78+1</f>
        <v>35</v>
      </c>
      <c r="B80" s="122" t="s">
        <v>192</v>
      </c>
      <c r="C80" s="15" t="s">
        <v>500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536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27" t="s">
        <v>20</v>
      </c>
      <c r="AG80" s="17">
        <f>AH80-3</f>
        <v>45950</v>
      </c>
      <c r="AH80" s="17">
        <f t="shared" ref="AH80:AI80" si="33">AI80-2</f>
        <v>45953</v>
      </c>
      <c r="AI80" s="17">
        <f t="shared" si="33"/>
        <v>45955</v>
      </c>
      <c r="AJ80" s="17">
        <v>45957</v>
      </c>
      <c r="AK80" s="273" t="s">
        <v>680</v>
      </c>
      <c r="AL80" s="127" t="s">
        <v>20</v>
      </c>
      <c r="AM80" s="25" t="s">
        <v>6</v>
      </c>
      <c r="AN80" s="121"/>
      <c r="AO80" s="121"/>
      <c r="AP80" s="24"/>
      <c r="AQ80" s="127" t="s">
        <v>20</v>
      </c>
      <c r="AR80" s="17">
        <f>AS80-3</f>
        <v>45975</v>
      </c>
      <c r="AS80" s="17">
        <v>45978</v>
      </c>
      <c r="AT80" s="15" t="s">
        <v>503</v>
      </c>
      <c r="AU80" s="15"/>
      <c r="AV80" s="12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27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4">A80+1</f>
        <v>36</v>
      </c>
      <c r="B82" s="122" t="s">
        <v>193</v>
      </c>
      <c r="C82" s="15" t="s">
        <v>500</v>
      </c>
      <c r="D82" s="15"/>
      <c r="E82" s="15"/>
      <c r="F82" s="15">
        <v>54</v>
      </c>
      <c r="G82" s="15"/>
      <c r="H82" s="15">
        <v>4.1059999999999999</v>
      </c>
      <c r="I82" s="15">
        <v>0.23</v>
      </c>
      <c r="J82" s="15">
        <f>SUM(G82:I82)</f>
        <v>4.3360000000000003</v>
      </c>
      <c r="K82" s="15"/>
      <c r="L82" s="15">
        <f>0.12+0.219</f>
        <v>0.33899999999999997</v>
      </c>
      <c r="M82" s="15">
        <f>0.003+0.003</f>
        <v>6.0000000000000001E-3</v>
      </c>
      <c r="N82" s="15">
        <f>SUM(K82:M82)</f>
        <v>0.34499999999999997</v>
      </c>
      <c r="O82" s="15"/>
      <c r="P82" s="15"/>
      <c r="Q82" s="15"/>
      <c r="R82" s="15"/>
      <c r="S82" s="16"/>
      <c r="T82" s="15" t="s">
        <v>536</v>
      </c>
      <c r="U82" s="15">
        <v>315</v>
      </c>
      <c r="V82" s="15">
        <v>4.0999999999999996</v>
      </c>
      <c r="W82" s="15">
        <v>42</v>
      </c>
      <c r="X82" s="15">
        <f>W82+V82</f>
        <v>46.1</v>
      </c>
      <c r="Y82" s="15"/>
      <c r="Z82" s="15"/>
      <c r="AA82" s="15"/>
      <c r="AB82" s="15"/>
      <c r="AC82" s="15"/>
      <c r="AD82" s="15"/>
      <c r="AE82" s="15">
        <v>3.95</v>
      </c>
      <c r="AF82" s="127" t="s">
        <v>20</v>
      </c>
      <c r="AG82" s="17">
        <f>AH82-2</f>
        <v>45969</v>
      </c>
      <c r="AH82" s="17">
        <f>AI82-3</f>
        <v>45971</v>
      </c>
      <c r="AI82" s="17">
        <f>AJ82-2</f>
        <v>45974</v>
      </c>
      <c r="AJ82" s="17">
        <v>45976</v>
      </c>
      <c r="AK82" s="273" t="s">
        <v>680</v>
      </c>
      <c r="AL82" s="127" t="s">
        <v>20</v>
      </c>
      <c r="AM82" s="25" t="s">
        <v>6</v>
      </c>
      <c r="AN82" s="24"/>
      <c r="AO82" s="24"/>
      <c r="AP82" s="24"/>
      <c r="AQ82" s="127" t="s">
        <v>20</v>
      </c>
      <c r="AR82" s="17">
        <f>AS82-3</f>
        <v>45978</v>
      </c>
      <c r="AS82" s="17">
        <v>45981</v>
      </c>
      <c r="AT82" s="15" t="s">
        <v>503</v>
      </c>
      <c r="AU82" s="15"/>
      <c r="AV82" s="12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48.938000000000002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5">A82+1</f>
        <v>37</v>
      </c>
      <c r="B84" s="122" t="s">
        <v>338</v>
      </c>
      <c r="C84" s="15" t="s">
        <v>34</v>
      </c>
      <c r="D84" s="162">
        <v>9.6539999999999999</v>
      </c>
      <c r="E84" s="162">
        <f>D84*4</f>
        <v>38.616</v>
      </c>
      <c r="F84" s="162">
        <f>E84*8</f>
        <v>308.928</v>
      </c>
      <c r="G84" s="15">
        <f>4.906+1.456+0.596</f>
        <v>6.9580000000000002</v>
      </c>
      <c r="H84" s="15">
        <f>0.066+0.717+0.272</f>
        <v>1.0549999999999999</v>
      </c>
      <c r="I84" s="15">
        <f>0.274+0.083+0.043</f>
        <v>0.4</v>
      </c>
      <c r="J84" s="15">
        <f>SUM(G84:I84)</f>
        <v>8.4130000000000003</v>
      </c>
      <c r="K84" s="15">
        <v>0.53200000000000003</v>
      </c>
      <c r="L84" s="15"/>
      <c r="M84" s="15">
        <v>1.0999999999999999E-2</v>
      </c>
      <c r="N84" s="15">
        <f>K84+M84</f>
        <v>0.54300000000000004</v>
      </c>
      <c r="O84" s="15"/>
      <c r="P84" s="15"/>
      <c r="Q84" s="15"/>
      <c r="R84" s="15"/>
      <c r="S84" s="16"/>
      <c r="T84" s="15" t="s">
        <v>499</v>
      </c>
      <c r="U84" s="15">
        <v>75.36</v>
      </c>
      <c r="V84" s="15">
        <v>1.35</v>
      </c>
      <c r="W84" s="15">
        <v>13.06</v>
      </c>
      <c r="X84" s="15">
        <f>V84+W84</f>
        <v>14.41</v>
      </c>
      <c r="Y84" s="15">
        <v>70.930000000000007</v>
      </c>
      <c r="Z84" s="15">
        <v>900.95</v>
      </c>
      <c r="AA84" s="15"/>
      <c r="AB84" s="15">
        <v>96.82</v>
      </c>
      <c r="AC84" s="15">
        <v>151.27000000000001</v>
      </c>
      <c r="AD84" s="15"/>
      <c r="AE84" s="15">
        <v>1.22</v>
      </c>
      <c r="AF84" s="127" t="s">
        <v>20</v>
      </c>
      <c r="AG84" s="17">
        <f t="shared" ref="AG84:AI84" si="36">AH84-2</f>
        <v>45842</v>
      </c>
      <c r="AH84" s="17">
        <f t="shared" si="36"/>
        <v>45844</v>
      </c>
      <c r="AI84" s="17">
        <f t="shared" si="36"/>
        <v>45846</v>
      </c>
      <c r="AJ84" s="17">
        <v>45848</v>
      </c>
      <c r="AK84" s="15" t="s">
        <v>504</v>
      </c>
      <c r="AL84" s="127" t="s">
        <v>20</v>
      </c>
      <c r="AM84" s="25" t="s">
        <v>6</v>
      </c>
      <c r="AN84" s="121">
        <f>AO84</f>
        <v>45853</v>
      </c>
      <c r="AO84" s="121">
        <v>45853</v>
      </c>
      <c r="AP84" s="24" t="s">
        <v>504</v>
      </c>
      <c r="AQ84" s="127" t="s">
        <v>20</v>
      </c>
      <c r="AR84" s="17">
        <f>AS84-3</f>
        <v>45897</v>
      </c>
      <c r="AS84" s="17">
        <v>45900</v>
      </c>
      <c r="AT84" s="15" t="s">
        <v>693</v>
      </c>
      <c r="AU84" s="15"/>
      <c r="AV84" s="12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165.14699999999999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ht="14.25" customHeight="1">
      <c r="A86" s="15">
        <f t="shared" ref="A86" si="37">A84+1</f>
        <v>38</v>
      </c>
      <c r="B86" s="122" t="s">
        <v>340</v>
      </c>
      <c r="C86" s="15" t="s">
        <v>506</v>
      </c>
      <c r="D86" s="162">
        <v>9.6539999999999999</v>
      </c>
      <c r="E86" s="162">
        <f>D86*4</f>
        <v>38.616</v>
      </c>
      <c r="F86" s="162">
        <f>E86*8</f>
        <v>308.928</v>
      </c>
      <c r="G86" s="15">
        <v>9.9130000000000003</v>
      </c>
      <c r="H86" s="15">
        <v>0.874</v>
      </c>
      <c r="I86" s="15">
        <v>0.73</v>
      </c>
      <c r="J86" s="15">
        <f>SUM(G86:I86)</f>
        <v>11.517000000000001</v>
      </c>
      <c r="K86" s="15">
        <v>0.84499999999999997</v>
      </c>
      <c r="L86" s="15"/>
      <c r="M86" s="15">
        <v>8.9999999999999993E-3</v>
      </c>
      <c r="N86" s="15">
        <f>SUM(K86:M86)</f>
        <v>0.85399999999999998</v>
      </c>
      <c r="O86" s="15"/>
      <c r="P86" s="15"/>
      <c r="Q86" s="15"/>
      <c r="R86" s="15"/>
      <c r="S86" s="16"/>
      <c r="T86" s="15" t="s">
        <v>536</v>
      </c>
      <c r="U86" s="15">
        <v>315</v>
      </c>
      <c r="V86" s="15">
        <v>4.0999999999999996</v>
      </c>
      <c r="W86" s="15">
        <v>42</v>
      </c>
      <c r="X86" s="15">
        <f>W86+V86</f>
        <v>46.1</v>
      </c>
      <c r="Y86" s="15"/>
      <c r="Z86" s="15"/>
      <c r="AA86" s="15"/>
      <c r="AB86" s="15"/>
      <c r="AC86" s="15"/>
      <c r="AD86" s="15"/>
      <c r="AE86" s="15">
        <v>3.95</v>
      </c>
      <c r="AF86" s="127" t="s">
        <v>20</v>
      </c>
      <c r="AG86" s="17">
        <f>AH86-3</f>
        <v>45961</v>
      </c>
      <c r="AH86" s="17">
        <f t="shared" ref="AH86:AI86" si="38">AI86-2</f>
        <v>45964</v>
      </c>
      <c r="AI86" s="17">
        <f t="shared" si="38"/>
        <v>45966</v>
      </c>
      <c r="AJ86" s="17">
        <v>45968</v>
      </c>
      <c r="AK86" s="273" t="s">
        <v>680</v>
      </c>
      <c r="AL86" s="127" t="s">
        <v>20</v>
      </c>
      <c r="AM86" s="25" t="s">
        <v>6</v>
      </c>
      <c r="AN86" s="24"/>
      <c r="AO86" s="24"/>
      <c r="AP86" s="24"/>
      <c r="AQ86" s="127" t="s">
        <v>20</v>
      </c>
      <c r="AR86" s="15" t="s">
        <v>687</v>
      </c>
      <c r="AS86" s="349" t="s">
        <v>686</v>
      </c>
      <c r="AT86" s="15" t="s">
        <v>693</v>
      </c>
      <c r="AU86" s="15"/>
      <c r="AV86" s="127" t="s">
        <v>20</v>
      </c>
      <c r="AW86" s="15"/>
      <c r="AX86" s="15"/>
      <c r="AY86" s="15"/>
      <c r="AZ86" s="15"/>
      <c r="BA86" s="15"/>
    </row>
    <row r="87" spans="1:53" customFormat="1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>
        <v>39.999000000000002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24"/>
      <c r="AH87" s="24"/>
      <c r="AI87" s="24"/>
      <c r="AJ87" s="24"/>
      <c r="AK87" s="24"/>
      <c r="AL87" s="24"/>
      <c r="AM87" s="25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</row>
    <row r="88" spans="1:53" customFormat="1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21"/>
      <c r="AH88" s="121"/>
      <c r="AI88" s="121"/>
      <c r="AJ88" s="121"/>
      <c r="AK88" s="19"/>
      <c r="AL88" s="15"/>
      <c r="AM88" s="15"/>
      <c r="AN88" s="121"/>
      <c r="AO88" s="121"/>
      <c r="AP88" s="19"/>
      <c r="AQ88" s="15"/>
      <c r="AR88" s="24"/>
      <c r="AS88" s="24"/>
      <c r="AT88" s="24"/>
      <c r="AU88" s="24"/>
      <c r="AV88" s="24"/>
      <c r="AW88" s="24"/>
      <c r="AX88" s="24"/>
      <c r="AY88" s="24"/>
      <c r="AZ88" s="24"/>
      <c r="BA88" s="24"/>
    </row>
    <row r="89" spans="1:53" customFormat="1" ht="14.25" customHeight="1">
      <c r="A89" s="15"/>
      <c r="B89" s="15"/>
      <c r="C89" s="15"/>
      <c r="D89" s="43"/>
      <c r="E89" s="43"/>
      <c r="F89" s="43">
        <v>8944</v>
      </c>
      <c r="G89" s="43"/>
      <c r="H89" s="43"/>
      <c r="I89" s="43"/>
      <c r="J89" s="43"/>
      <c r="K89" s="43"/>
      <c r="L89" s="43"/>
      <c r="M89" s="43"/>
      <c r="N89" s="43"/>
      <c r="S89" s="128">
        <f>SUM(S18:S88)/1000</f>
        <v>6.370323</v>
      </c>
      <c r="T89" s="15" t="s">
        <v>32</v>
      </c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5">
        <f>+COUNTIF($AF$6:$AF$88,"C")</f>
        <v>39</v>
      </c>
      <c r="AL89" s="129">
        <f>+COUNTIF($AL$6:$AL$88,"C")</f>
        <v>39</v>
      </c>
      <c r="AM89" s="129"/>
      <c r="AQ89" s="43">
        <f>+COUNTIF($AQ$6:$AQ$88,"C")</f>
        <v>35</v>
      </c>
      <c r="AV89" s="129">
        <f>+COUNTIF(AV6:AV88,"C")</f>
        <v>34</v>
      </c>
    </row>
    <row r="92" spans="1:53" ht="14.25" customHeight="1">
      <c r="I92" s="43"/>
      <c r="J92" s="43"/>
      <c r="K92" s="43"/>
      <c r="L92" s="43">
        <v>15</v>
      </c>
      <c r="M92" s="43"/>
      <c r="N92" s="43"/>
      <c r="T92" s="43"/>
      <c r="U92" s="43"/>
      <c r="V92" s="43"/>
      <c r="W92" s="43"/>
      <c r="X92" s="43"/>
      <c r="Y92" s="43">
        <f t="shared" ref="Y92:AD92" si="39">SUM(Y18:Y89)/1000</f>
        <v>2.3728800000000003</v>
      </c>
      <c r="Z92" s="43">
        <f t="shared" si="39"/>
        <v>11.133880000000003</v>
      </c>
      <c r="AA92" s="43">
        <f t="shared" si="39"/>
        <v>14.159970000000003</v>
      </c>
      <c r="AB92" s="43">
        <f t="shared" si="39"/>
        <v>4.3221600000000002</v>
      </c>
      <c r="AC92" s="43">
        <f t="shared" si="39"/>
        <v>2.5724</v>
      </c>
      <c r="AD92" s="43">
        <f t="shared" si="39"/>
        <v>0</v>
      </c>
      <c r="AE92" s="43">
        <f>SUM(AE18:AE89)</f>
        <v>62.213000000000029</v>
      </c>
    </row>
    <row r="93" spans="1:53" ht="14.25" customHeight="1">
      <c r="I93" s="350">
        <f>10.738*4</f>
        <v>42.951999999999998</v>
      </c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</sheetData>
  <autoFilter ref="A5:BA89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60" zoomScaleNormal="60" workbookViewId="0">
      <pane xSplit="11" ySplit="15" topLeftCell="BD134" activePane="bottomRight" state="frozen"/>
      <selection activeCell="A5" sqref="A5"/>
      <selection pane="topRight" activeCell="L5" sqref="L5"/>
      <selection pane="bottomLeft" activeCell="A20" sqref="A20"/>
      <selection pane="bottomRight" activeCell="BK146" sqref="BK146"/>
    </sheetView>
  </sheetViews>
  <sheetFormatPr defaultColWidth="14.42578125" defaultRowHeight="15" customHeight="1"/>
  <cols>
    <col min="1" max="1" width="4.5703125" customWidth="1"/>
    <col min="2" max="2" width="17" customWidth="1"/>
    <col min="3" max="3" width="9.85546875" customWidth="1"/>
    <col min="4" max="4" width="9" customWidth="1"/>
    <col min="5" max="5" width="12.85546875" customWidth="1"/>
    <col min="6" max="6" width="12.140625" customWidth="1"/>
    <col min="7" max="7" width="9" customWidth="1"/>
    <col min="8" max="8" width="5" customWidth="1"/>
    <col min="9" max="9" width="4.7109375" customWidth="1"/>
    <col min="10" max="10" width="5" customWidth="1"/>
    <col min="11" max="11" width="4.85546875" customWidth="1"/>
    <col min="12" max="15" width="11" customWidth="1"/>
    <col min="16" max="16" width="11.5703125" customWidth="1"/>
    <col min="17" max="19" width="11" customWidth="1"/>
    <col min="20" max="20" width="14.140625" customWidth="1"/>
    <col min="21" max="21" width="8.85546875" customWidth="1"/>
    <col min="22" max="22" width="10.5703125" customWidth="1"/>
    <col min="23" max="26" width="13.85546875" customWidth="1"/>
    <col min="27" max="27" width="10.85546875" customWidth="1"/>
    <col min="28" max="29" width="13.85546875" hidden="1" customWidth="1"/>
    <col min="30" max="37" width="13.85546875" customWidth="1"/>
    <col min="38" max="38" width="1.7109375" customWidth="1"/>
    <col min="39" max="39" width="15.7109375" customWidth="1"/>
    <col min="40" max="41" width="13.42578125" customWidth="1"/>
    <col min="42" max="42" width="16.28515625" customWidth="1"/>
    <col min="43" max="43" width="16.85546875" customWidth="1"/>
    <col min="44" max="44" width="15" customWidth="1"/>
    <col min="45" max="45" width="14.85546875" style="376" customWidth="1"/>
    <col min="46" max="46" width="20.140625" style="376" customWidth="1"/>
    <col min="47" max="47" width="1.5703125" customWidth="1"/>
    <col min="48" max="48" width="12.42578125" customWidth="1"/>
    <col min="49" max="49" width="11.85546875" customWidth="1"/>
    <col min="50" max="50" width="16" customWidth="1"/>
    <col min="51" max="51" width="15.140625" customWidth="1"/>
    <col min="52" max="52" width="20.28515625" customWidth="1"/>
    <col min="53" max="53" width="1.42578125" customWidth="1"/>
    <col min="54" max="54" width="14" customWidth="1"/>
    <col min="55" max="55" width="29.28515625" customWidth="1"/>
    <col min="56" max="56" width="39" customWidth="1"/>
    <col min="57" max="57" width="17.7109375" style="271" customWidth="1"/>
    <col min="58" max="58" width="14.140625" style="271" customWidth="1"/>
    <col min="59" max="59" width="33.42578125" customWidth="1"/>
    <col min="60" max="60" width="2" customWidth="1"/>
    <col min="61" max="61" width="8.5703125" customWidth="1"/>
    <col min="62" max="62" width="13.85546875" customWidth="1"/>
    <col min="63" max="63" width="13" customWidth="1"/>
    <col min="64" max="64" width="10.5703125" style="376" customWidth="1"/>
    <col min="65" max="65" width="15.7109375" customWidth="1"/>
    <col min="66" max="67" width="37.5703125" customWidth="1"/>
    <col min="68" max="68" width="8.7109375" customWidth="1"/>
  </cols>
  <sheetData>
    <row r="1" spans="1:67" ht="14.25" hidden="1" customHeight="1">
      <c r="W1" s="43"/>
      <c r="X1" s="131"/>
      <c r="Y1" s="13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33"/>
      <c r="AM1" s="43"/>
      <c r="AU1" s="134"/>
      <c r="BA1" s="134"/>
      <c r="BE1"/>
      <c r="BF1"/>
      <c r="BH1" s="134"/>
      <c r="BL1"/>
    </row>
    <row r="2" spans="1:67" ht="14.25" hidden="1" customHeight="1">
      <c r="A2" s="135" t="str">
        <f>+Summary!A2</f>
        <v>Name of the Line: 220KV DC AL59 line from Neemuch - Chanderiya + 132KV DC ACSS Line from Chanderiya to Hindustan Zinc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08"/>
      <c r="X2" s="135"/>
      <c r="Y2" s="135"/>
      <c r="Z2" s="135"/>
      <c r="AA2" s="136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7"/>
      <c r="AM2" s="135"/>
      <c r="AN2" s="135"/>
      <c r="AO2" s="135"/>
      <c r="AP2" s="135"/>
      <c r="AQ2" s="135"/>
      <c r="AR2" s="135"/>
      <c r="AS2" s="139"/>
      <c r="AT2" s="139"/>
      <c r="AU2" s="137"/>
      <c r="AV2" s="135"/>
      <c r="AW2" s="135"/>
      <c r="AX2" s="135"/>
      <c r="AY2" s="135"/>
      <c r="AZ2" s="135"/>
      <c r="BA2" s="137"/>
      <c r="BB2" s="135"/>
      <c r="BC2" s="135"/>
      <c r="BD2" s="135"/>
      <c r="BE2" s="135"/>
      <c r="BF2" s="135"/>
      <c r="BG2" s="135"/>
      <c r="BH2" s="137"/>
      <c r="BI2" s="135"/>
      <c r="BJ2" s="135"/>
      <c r="BK2" s="135"/>
      <c r="BL2" s="135"/>
      <c r="BM2" s="135"/>
      <c r="BN2" s="135"/>
      <c r="BO2" s="135"/>
    </row>
    <row r="3" spans="1:67" ht="14.25" hidden="1" customHeight="1">
      <c r="A3" s="135" t="str">
        <f>+Summary!A5</f>
        <v>Progress of 220kV Line</v>
      </c>
      <c r="B3" s="135"/>
      <c r="C3" s="135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5"/>
      <c r="W3" s="108"/>
      <c r="X3" s="135"/>
      <c r="Y3" s="135"/>
      <c r="Z3" s="135"/>
      <c r="AA3" s="136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7"/>
      <c r="AM3" s="135"/>
      <c r="AN3" s="135"/>
      <c r="AO3" s="135"/>
      <c r="AP3" s="135"/>
      <c r="AQ3" s="135"/>
      <c r="AR3" s="135"/>
      <c r="AS3" s="139"/>
      <c r="AT3" s="139"/>
      <c r="AU3" s="137"/>
      <c r="AV3" s="135"/>
      <c r="AW3" s="135"/>
      <c r="AX3" s="135"/>
      <c r="AY3" s="135"/>
      <c r="AZ3" s="135"/>
      <c r="BA3" s="137"/>
      <c r="BB3" s="135"/>
      <c r="BC3" s="135"/>
      <c r="BD3" s="135"/>
      <c r="BE3" s="135"/>
      <c r="BF3" s="135"/>
      <c r="BG3" s="135"/>
      <c r="BH3" s="137"/>
      <c r="BI3" s="135"/>
      <c r="BJ3" s="135"/>
      <c r="BK3" s="135"/>
      <c r="BL3" s="135"/>
      <c r="BM3" s="135"/>
      <c r="BN3" s="135"/>
      <c r="BO3" s="135"/>
    </row>
    <row r="4" spans="1:67" ht="15" hidden="1" customHeight="1">
      <c r="A4" s="139" t="s">
        <v>467</v>
      </c>
      <c r="B4" s="139"/>
      <c r="C4" s="109"/>
      <c r="D4" s="140"/>
      <c r="E4" s="140"/>
      <c r="F4" s="140"/>
      <c r="G4" s="140"/>
      <c r="H4" s="664" t="s">
        <v>507</v>
      </c>
      <c r="I4" s="665"/>
      <c r="J4" s="665"/>
      <c r="K4" s="666"/>
      <c r="L4" s="664" t="s">
        <v>472</v>
      </c>
      <c r="M4" s="667"/>
      <c r="N4" s="667"/>
      <c r="O4" s="667"/>
      <c r="P4" s="668"/>
      <c r="Q4" s="664" t="s">
        <v>473</v>
      </c>
      <c r="R4" s="667"/>
      <c r="S4" s="668"/>
      <c r="T4" s="141"/>
      <c r="U4" s="141"/>
      <c r="V4" s="139"/>
      <c r="W4" s="1" t="s">
        <v>379</v>
      </c>
      <c r="X4" s="5"/>
      <c r="Y4" s="5"/>
      <c r="Z4" s="5"/>
      <c r="AA4" s="142"/>
      <c r="AB4" s="5"/>
      <c r="AC4" s="5"/>
      <c r="AD4" s="5"/>
      <c r="AE4" s="5"/>
      <c r="AF4" s="5"/>
      <c r="AG4" s="5"/>
      <c r="AH4" s="5"/>
      <c r="AI4" s="5"/>
      <c r="AJ4" s="5"/>
      <c r="AK4" s="5"/>
      <c r="AL4" s="143"/>
      <c r="AM4" s="5"/>
      <c r="AN4" s="5"/>
      <c r="AO4" s="5"/>
      <c r="AP4" s="5"/>
      <c r="AQ4" s="5"/>
      <c r="AR4" s="5"/>
      <c r="AS4" s="5"/>
      <c r="AT4" s="5"/>
      <c r="AU4" s="143"/>
      <c r="AV4" s="5" t="s">
        <v>381</v>
      </c>
      <c r="AW4" s="5"/>
      <c r="AX4" s="5"/>
      <c r="AY4" s="5"/>
      <c r="AZ4" s="5"/>
      <c r="BA4" s="143"/>
      <c r="BB4" s="5" t="s">
        <v>468</v>
      </c>
      <c r="BC4" s="5"/>
      <c r="BD4" s="5"/>
      <c r="BE4" s="5"/>
      <c r="BF4" s="5"/>
      <c r="BG4" s="5"/>
      <c r="BH4" s="144"/>
      <c r="BI4" s="5" t="s">
        <v>470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39"/>
      <c r="B5" s="139"/>
      <c r="C5" s="109"/>
      <c r="D5" s="140"/>
      <c r="E5" s="140"/>
      <c r="F5" s="140"/>
      <c r="G5" s="140"/>
      <c r="H5" s="145"/>
      <c r="I5" s="140"/>
      <c r="J5" s="140"/>
      <c r="K5" s="146"/>
      <c r="L5" s="145"/>
      <c r="M5" s="140"/>
      <c r="N5" s="140"/>
      <c r="O5" s="140"/>
      <c r="P5" s="146">
        <f>SUBTOTAL(109,P8:P410)</f>
        <v>1367.3216000000032</v>
      </c>
      <c r="Q5" s="145"/>
      <c r="R5" s="140"/>
      <c r="S5" s="146">
        <f>SUBTOTAL(109,S8:S410)</f>
        <v>72.173000000000087</v>
      </c>
      <c r="T5" s="147"/>
      <c r="U5" s="147"/>
      <c r="V5" s="139">
        <f>SUBTOTAL(109,V8:V410)</f>
        <v>64047.148999999976</v>
      </c>
      <c r="W5" s="148"/>
      <c r="X5" s="139">
        <f>SUBTOTAL(109,X8:X410)</f>
        <v>17952.97</v>
      </c>
      <c r="Y5" s="139">
        <f>SUBTOTAL(109,Y8:Y410)</f>
        <v>280.91600000000034</v>
      </c>
      <c r="Z5" s="149">
        <f>SUBTOTAL(109,Z8:Z410)</f>
        <v>2556.3350000000005</v>
      </c>
      <c r="AA5" s="149">
        <f>SUBTOTAL(109,AA8:AA410)</f>
        <v>2837.2509999999966</v>
      </c>
      <c r="AB5" s="139">
        <f>SUBTOTAL(109,AB8:AB410)</f>
        <v>19254.080599999983</v>
      </c>
      <c r="AC5" s="142"/>
      <c r="AD5" s="5"/>
      <c r="AE5" s="5"/>
      <c r="AF5" s="5"/>
      <c r="AG5" s="5"/>
      <c r="AH5" s="5"/>
      <c r="AI5" s="5"/>
      <c r="AJ5" s="5"/>
      <c r="AK5" s="146">
        <f>SUBTOTAL(109,AK8:AK410)</f>
        <v>179.18973999999994</v>
      </c>
      <c r="AL5" s="150"/>
      <c r="AM5" s="139">
        <f>SUBTOTAL(109,AM8:AM410)</f>
        <v>0</v>
      </c>
      <c r="AN5" s="142"/>
      <c r="AO5" s="5"/>
      <c r="AP5" s="5"/>
      <c r="AQ5" s="5"/>
      <c r="AR5" s="5"/>
      <c r="AS5" s="5"/>
      <c r="AT5" s="56"/>
      <c r="AU5" s="150"/>
      <c r="AV5" s="139">
        <f>SUBTOTAL(109,AV8:AV410)</f>
        <v>0</v>
      </c>
      <c r="AW5" s="151"/>
      <c r="AX5" s="5"/>
      <c r="AY5" s="5"/>
      <c r="AZ5" s="56"/>
      <c r="BA5" s="150"/>
      <c r="BB5" s="139">
        <f>SUBTOTAL(109,BB8:BB410)</f>
        <v>0</v>
      </c>
      <c r="BC5" s="142"/>
      <c r="BD5" s="5"/>
      <c r="BE5" s="266"/>
      <c r="BF5" s="266"/>
      <c r="BG5" s="56"/>
      <c r="BH5" s="152"/>
      <c r="BI5" s="139">
        <f>SUBTOTAL(109,BI8:BI410)</f>
        <v>0</v>
      </c>
      <c r="BJ5" s="142"/>
      <c r="BK5" s="5"/>
      <c r="BL5" s="56"/>
      <c r="BM5" s="56"/>
      <c r="BN5" s="113"/>
      <c r="BO5" s="113"/>
    </row>
    <row r="6" spans="1:67" ht="58.5" customHeight="1">
      <c r="A6" s="2" t="s">
        <v>2</v>
      </c>
      <c r="B6" s="2" t="s">
        <v>3</v>
      </c>
      <c r="C6" s="3" t="s">
        <v>399</v>
      </c>
      <c r="D6" s="153"/>
      <c r="E6" s="153"/>
      <c r="F6" s="153"/>
      <c r="G6" s="153"/>
      <c r="H6" s="116" t="s">
        <v>18</v>
      </c>
      <c r="I6" s="2" t="s">
        <v>19</v>
      </c>
      <c r="J6" s="3" t="s">
        <v>20</v>
      </c>
      <c r="K6" s="154" t="s">
        <v>21</v>
      </c>
      <c r="L6" s="116" t="s">
        <v>493</v>
      </c>
      <c r="M6" s="2" t="s">
        <v>494</v>
      </c>
      <c r="N6" s="2" t="s">
        <v>508</v>
      </c>
      <c r="O6" s="2" t="s">
        <v>495</v>
      </c>
      <c r="P6" s="117" t="s">
        <v>509</v>
      </c>
      <c r="Q6" s="116" t="s">
        <v>493</v>
      </c>
      <c r="R6" s="2" t="s">
        <v>495</v>
      </c>
      <c r="S6" s="117" t="s">
        <v>510</v>
      </c>
      <c r="T6" s="155" t="s">
        <v>5</v>
      </c>
      <c r="U6" s="155" t="s">
        <v>511</v>
      </c>
      <c r="V6" s="111" t="s">
        <v>474</v>
      </c>
      <c r="W6" s="55" t="s">
        <v>475</v>
      </c>
      <c r="X6" s="2" t="s">
        <v>476</v>
      </c>
      <c r="Y6" s="156" t="s">
        <v>477</v>
      </c>
      <c r="Z6" s="157"/>
      <c r="AA6" s="158"/>
      <c r="AB6" s="593" t="s">
        <v>512</v>
      </c>
      <c r="AC6" s="592"/>
      <c r="AD6" s="593" t="s">
        <v>513</v>
      </c>
      <c r="AE6" s="591"/>
      <c r="AF6" s="591"/>
      <c r="AG6" s="591"/>
      <c r="AH6" s="591"/>
      <c r="AI6" s="591"/>
      <c r="AJ6" s="591"/>
      <c r="AK6" s="592"/>
      <c r="AL6" s="150"/>
      <c r="AM6" s="55" t="s">
        <v>514</v>
      </c>
      <c r="AN6" s="6" t="s">
        <v>515</v>
      </c>
      <c r="AO6" s="6" t="s">
        <v>516</v>
      </c>
      <c r="AP6" s="660" t="s">
        <v>486</v>
      </c>
      <c r="AQ6" s="592"/>
      <c r="AR6" s="590" t="s">
        <v>487</v>
      </c>
      <c r="AS6" s="592"/>
      <c r="AT6" s="2" t="s">
        <v>488</v>
      </c>
      <c r="AU6" s="144"/>
      <c r="AV6" s="2" t="s">
        <v>517</v>
      </c>
      <c r="AW6" s="2" t="s">
        <v>518</v>
      </c>
      <c r="AX6" s="6" t="s">
        <v>491</v>
      </c>
      <c r="AY6" s="6" t="s">
        <v>23</v>
      </c>
      <c r="AZ6" s="2" t="s">
        <v>519</v>
      </c>
      <c r="BA6" s="144"/>
      <c r="BB6" s="55" t="s">
        <v>520</v>
      </c>
      <c r="BC6" s="6" t="s">
        <v>515</v>
      </c>
      <c r="BD6" s="6" t="s">
        <v>516</v>
      </c>
      <c r="BE6" s="267" t="s">
        <v>491</v>
      </c>
      <c r="BF6" s="267" t="s">
        <v>23</v>
      </c>
      <c r="BG6" s="2" t="s">
        <v>519</v>
      </c>
      <c r="BH6" s="152"/>
      <c r="BI6" s="55" t="s">
        <v>489</v>
      </c>
      <c r="BJ6" s="6" t="s">
        <v>491</v>
      </c>
      <c r="BK6" s="6" t="s">
        <v>23</v>
      </c>
      <c r="BL6" s="114" t="s">
        <v>521</v>
      </c>
      <c r="BM6" s="55" t="s">
        <v>488</v>
      </c>
      <c r="BN6" s="113"/>
      <c r="BO6" s="113"/>
    </row>
    <row r="7" spans="1:67" ht="14.25" customHeight="1">
      <c r="A7" s="2" t="s">
        <v>0</v>
      </c>
      <c r="B7" s="2"/>
      <c r="C7" s="3"/>
      <c r="D7" s="153" t="s">
        <v>522</v>
      </c>
      <c r="E7" s="153" t="s">
        <v>523</v>
      </c>
      <c r="F7" s="153" t="s">
        <v>524</v>
      </c>
      <c r="G7" s="153" t="s">
        <v>507</v>
      </c>
      <c r="H7" s="116"/>
      <c r="I7" s="2"/>
      <c r="J7" s="3"/>
      <c r="K7" s="154"/>
      <c r="L7" s="116" t="s">
        <v>525</v>
      </c>
      <c r="M7" s="2" t="s">
        <v>525</v>
      </c>
      <c r="N7" s="2" t="s">
        <v>525</v>
      </c>
      <c r="O7" s="2" t="s">
        <v>525</v>
      </c>
      <c r="P7" s="117" t="s">
        <v>525</v>
      </c>
      <c r="Q7" s="117" t="s">
        <v>525</v>
      </c>
      <c r="R7" s="117" t="s">
        <v>525</v>
      </c>
      <c r="S7" s="117" t="s">
        <v>525</v>
      </c>
      <c r="T7" s="159" t="s">
        <v>16</v>
      </c>
      <c r="U7" s="159"/>
      <c r="V7" s="8" t="s">
        <v>17</v>
      </c>
      <c r="W7" s="118"/>
      <c r="X7" s="55"/>
      <c r="Y7" s="55" t="s">
        <v>497</v>
      </c>
      <c r="Z7" s="55" t="s">
        <v>498</v>
      </c>
      <c r="AA7" s="55" t="s">
        <v>496</v>
      </c>
      <c r="AB7" s="55" t="s">
        <v>526</v>
      </c>
      <c r="AC7" s="55" t="s">
        <v>527</v>
      </c>
      <c r="AD7" s="113" t="s">
        <v>528</v>
      </c>
      <c r="AE7" s="113" t="s">
        <v>529</v>
      </c>
      <c r="AF7" s="113" t="s">
        <v>530</v>
      </c>
      <c r="AG7" s="113" t="s">
        <v>531</v>
      </c>
      <c r="AH7" s="113" t="s">
        <v>532</v>
      </c>
      <c r="AI7" s="113" t="s">
        <v>533</v>
      </c>
      <c r="AJ7" s="113" t="s">
        <v>534</v>
      </c>
      <c r="AK7" s="113" t="s">
        <v>484</v>
      </c>
      <c r="AL7" s="152"/>
      <c r="AM7" s="118"/>
      <c r="AN7" s="6"/>
      <c r="AO7" s="6"/>
      <c r="AP7" s="6" t="s">
        <v>491</v>
      </c>
      <c r="AQ7" s="6" t="s">
        <v>23</v>
      </c>
      <c r="AR7" s="6" t="s">
        <v>491</v>
      </c>
      <c r="AS7" s="6">
        <v>9</v>
      </c>
      <c r="AT7" s="118"/>
      <c r="AU7" s="160"/>
      <c r="AV7" s="118"/>
      <c r="AW7" s="118"/>
      <c r="AX7" s="337"/>
      <c r="AY7" s="337"/>
      <c r="AZ7" s="118"/>
      <c r="BA7" s="160"/>
      <c r="BB7" s="118"/>
      <c r="BC7" s="6"/>
      <c r="BD7" s="6"/>
      <c r="BE7" s="267"/>
      <c r="BF7" s="267"/>
      <c r="BG7" s="118"/>
      <c r="BH7" s="160"/>
      <c r="BI7" s="118"/>
      <c r="BJ7" s="6"/>
      <c r="BK7" s="6"/>
      <c r="BL7" s="119"/>
      <c r="BM7" s="118"/>
      <c r="BN7" s="118"/>
      <c r="BO7" s="118"/>
    </row>
    <row r="8" spans="1:67" ht="14.25" customHeight="1">
      <c r="A8" s="2">
        <v>0</v>
      </c>
      <c r="B8" s="15" t="s">
        <v>30</v>
      </c>
      <c r="C8" s="161" t="s">
        <v>30</v>
      </c>
      <c r="D8" s="162"/>
      <c r="E8" s="162"/>
      <c r="F8" s="162"/>
      <c r="G8" s="162"/>
      <c r="H8" s="163"/>
      <c r="I8" s="15"/>
      <c r="J8" s="15"/>
      <c r="K8" s="164"/>
      <c r="L8" s="163"/>
      <c r="M8" s="15"/>
      <c r="N8" s="15"/>
      <c r="O8" s="15"/>
      <c r="P8" s="165">
        <v>13</v>
      </c>
      <c r="Q8" s="163"/>
      <c r="R8" s="15"/>
      <c r="S8" s="165"/>
      <c r="T8" s="166" t="s">
        <v>31</v>
      </c>
      <c r="U8" s="16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67"/>
      <c r="AM8" s="15"/>
      <c r="AN8" s="24"/>
      <c r="AO8" s="24"/>
      <c r="AP8" s="338"/>
      <c r="AQ8" s="338"/>
      <c r="AR8" s="338"/>
      <c r="AS8" s="507"/>
      <c r="AT8" s="25"/>
      <c r="AU8" s="168"/>
      <c r="AV8" s="24"/>
      <c r="AW8" s="24"/>
      <c r="AX8" s="268"/>
      <c r="AY8" s="268"/>
      <c r="AZ8" s="24"/>
      <c r="BA8" s="168"/>
      <c r="BB8" s="24"/>
      <c r="BC8" s="24"/>
      <c r="BD8" s="24"/>
      <c r="BE8" s="24"/>
      <c r="BF8" s="24"/>
      <c r="BG8" s="24"/>
      <c r="BH8" s="16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61"/>
      <c r="D9" s="162"/>
      <c r="E9" s="162"/>
      <c r="F9" s="162"/>
      <c r="G9" s="162"/>
      <c r="H9" s="163"/>
      <c r="I9" s="15"/>
      <c r="J9" s="15"/>
      <c r="K9" s="164"/>
      <c r="L9" s="163"/>
      <c r="M9" s="15"/>
      <c r="N9" s="15"/>
      <c r="O9" s="15"/>
      <c r="P9" s="165"/>
      <c r="Q9" s="163"/>
      <c r="R9" s="15"/>
      <c r="S9" s="165"/>
      <c r="T9" s="166"/>
      <c r="U9" s="16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67"/>
      <c r="AM9" s="15"/>
      <c r="AN9" s="24"/>
      <c r="AO9" s="24"/>
      <c r="AP9" s="24"/>
      <c r="AQ9" s="24"/>
      <c r="AR9" s="24"/>
      <c r="AS9" s="25"/>
      <c r="AT9" s="25"/>
      <c r="AU9" s="168"/>
      <c r="AV9" s="24"/>
      <c r="AW9" s="24"/>
      <c r="AX9" s="268"/>
      <c r="AY9" s="268"/>
      <c r="AZ9" s="24"/>
      <c r="BA9" s="168"/>
      <c r="BB9" s="24"/>
      <c r="BC9" s="24"/>
      <c r="BD9" s="24"/>
      <c r="BE9" s="24"/>
      <c r="BF9" s="24"/>
      <c r="BG9" s="24"/>
      <c r="BH9" s="16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69" t="s">
        <v>34</v>
      </c>
      <c r="D10" s="120">
        <v>9.6539999999999999</v>
      </c>
      <c r="E10" s="120">
        <f>D10*4</f>
        <v>38.616</v>
      </c>
      <c r="F10" s="120">
        <f>E10*8</f>
        <v>308.928</v>
      </c>
      <c r="G10" s="120"/>
      <c r="H10" s="170"/>
      <c r="I10" s="19"/>
      <c r="J10" s="19"/>
      <c r="K10" s="171"/>
      <c r="L10" s="163">
        <v>4.8070000000000004</v>
      </c>
      <c r="M10" s="15">
        <v>4.016</v>
      </c>
      <c r="N10" s="15">
        <v>7.0000000000000001E-3</v>
      </c>
      <c r="O10" s="15">
        <v>0.43099999999999999</v>
      </c>
      <c r="P10" s="165">
        <f>SUM(L10:O10)</f>
        <v>9.2609999999999992</v>
      </c>
      <c r="Q10" s="163">
        <v>0.55700000000000005</v>
      </c>
      <c r="R10" s="15">
        <v>0.01</v>
      </c>
      <c r="S10" s="165">
        <f>SUM(Q10:R10)</f>
        <v>0.56700000000000006</v>
      </c>
      <c r="T10" s="166" t="s">
        <v>35</v>
      </c>
      <c r="U10" s="166" t="s">
        <v>535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67"/>
      <c r="AM10" s="127" t="s">
        <v>20</v>
      </c>
      <c r="AN10" s="121" t="str">
        <f>AO10</f>
        <v>D</v>
      </c>
      <c r="AO10" s="121" t="s">
        <v>21</v>
      </c>
      <c r="AP10" s="338">
        <f>AQ10-1</f>
        <v>45703</v>
      </c>
      <c r="AQ10" s="338">
        <f t="shared" ref="AQ10:AR10" si="1">AR10-2</f>
        <v>45704</v>
      </c>
      <c r="AR10" s="338">
        <f t="shared" si="1"/>
        <v>45706</v>
      </c>
      <c r="AS10" s="507">
        <v>45708</v>
      </c>
      <c r="AT10" s="25" t="s">
        <v>537</v>
      </c>
      <c r="AU10" s="168"/>
      <c r="AV10" s="127" t="s">
        <v>20</v>
      </c>
      <c r="AW10" s="15" t="s">
        <v>6</v>
      </c>
      <c r="AX10" s="268">
        <v>45737</v>
      </c>
      <c r="AY10" s="268">
        <f>AX10</f>
        <v>45737</v>
      </c>
      <c r="AZ10" s="172" t="s">
        <v>538</v>
      </c>
      <c r="BA10" s="173"/>
      <c r="BB10" s="127" t="s">
        <v>20</v>
      </c>
      <c r="BC10" s="121" t="s">
        <v>539</v>
      </c>
      <c r="BD10" s="121" t="s">
        <v>21</v>
      </c>
      <c r="BE10" s="269">
        <f>BF10-2</f>
        <v>45754</v>
      </c>
      <c r="BF10" s="269">
        <v>45756</v>
      </c>
      <c r="BG10" s="15" t="s">
        <v>505</v>
      </c>
      <c r="BH10" s="168"/>
      <c r="BI10" s="127" t="s">
        <v>20</v>
      </c>
      <c r="BJ10" s="121">
        <v>45824</v>
      </c>
      <c r="BK10" s="121">
        <v>45824</v>
      </c>
      <c r="BL10" s="25">
        <v>1202</v>
      </c>
      <c r="BM10" s="24" t="s">
        <v>540</v>
      </c>
      <c r="BN10" s="24"/>
      <c r="BO10" s="24"/>
    </row>
    <row r="11" spans="1:67" ht="14.25" customHeight="1">
      <c r="A11" s="2"/>
      <c r="B11" s="19"/>
      <c r="C11" s="169"/>
      <c r="D11" s="120"/>
      <c r="E11" s="120"/>
      <c r="F11" s="120"/>
      <c r="G11" s="120"/>
      <c r="H11" s="170"/>
      <c r="I11" s="19"/>
      <c r="J11" s="19"/>
      <c r="K11" s="171"/>
      <c r="L11" s="163"/>
      <c r="M11" s="15"/>
      <c r="N11" s="15"/>
      <c r="O11" s="15"/>
      <c r="P11" s="165"/>
      <c r="Q11" s="163"/>
      <c r="R11" s="15"/>
      <c r="S11" s="165"/>
      <c r="T11" s="166"/>
      <c r="U11" s="166"/>
      <c r="V11" s="16">
        <v>196</v>
      </c>
      <c r="W11" s="15" t="s">
        <v>536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67"/>
      <c r="AM11" s="15"/>
      <c r="AN11" s="24"/>
      <c r="AO11" s="24"/>
      <c r="AP11" s="24"/>
      <c r="AQ11" s="24"/>
      <c r="AR11" s="24"/>
      <c r="AS11" s="25"/>
      <c r="AT11" s="25"/>
      <c r="AU11" s="168"/>
      <c r="AV11" s="24"/>
      <c r="AW11" s="24"/>
      <c r="AX11" s="268"/>
      <c r="AY11" s="268"/>
      <c r="AZ11" s="24"/>
      <c r="BA11" s="168"/>
      <c r="BB11" s="24"/>
      <c r="BC11" s="24"/>
      <c r="BD11" s="24"/>
      <c r="BE11" s="24"/>
      <c r="BF11" s="24"/>
      <c r="BG11" s="24"/>
      <c r="BH11" s="16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69" t="s">
        <v>37</v>
      </c>
      <c r="D12" s="120">
        <v>6.992</v>
      </c>
      <c r="E12" s="120">
        <f>D12*4</f>
        <v>27.968</v>
      </c>
      <c r="F12" s="120">
        <f>E12*8</f>
        <v>223.744</v>
      </c>
      <c r="G12" s="120"/>
      <c r="H12" s="170"/>
      <c r="I12" s="19"/>
      <c r="J12" s="19"/>
      <c r="K12" s="171"/>
      <c r="L12" s="163">
        <v>2.6070000000000002</v>
      </c>
      <c r="M12" s="15">
        <v>2.657</v>
      </c>
      <c r="N12" s="15">
        <v>2E-3</v>
      </c>
      <c r="O12" s="15">
        <v>0.21299999999999999</v>
      </c>
      <c r="P12" s="174">
        <f t="shared" ref="P12:P74" si="2">SUM(L12:O12)</f>
        <v>5.4790000000000001</v>
      </c>
      <c r="Q12" s="163">
        <v>0.24399999999999999</v>
      </c>
      <c r="R12" s="15">
        <v>5.0000000000000001E-3</v>
      </c>
      <c r="S12" s="165">
        <f t="shared" ref="S12:S74" si="3">SUM(Q12:R12)</f>
        <v>0.249</v>
      </c>
      <c r="T12" s="166" t="s">
        <v>31</v>
      </c>
      <c r="U12" s="166" t="s">
        <v>535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67"/>
      <c r="AM12" s="127" t="s">
        <v>20</v>
      </c>
      <c r="AN12" s="121" t="str">
        <f>AO12</f>
        <v>D</v>
      </c>
      <c r="AO12" s="121" t="s">
        <v>21</v>
      </c>
      <c r="AP12" s="338">
        <f>AQ12-2</f>
        <v>45693</v>
      </c>
      <c r="AQ12" s="338">
        <f t="shared" ref="AQ12:AR12" si="5">AR12-1</f>
        <v>45695</v>
      </c>
      <c r="AR12" s="338">
        <f t="shared" si="5"/>
        <v>45696</v>
      </c>
      <c r="AS12" s="507">
        <v>45697</v>
      </c>
      <c r="AT12" s="25" t="s">
        <v>537</v>
      </c>
      <c r="AU12" s="168"/>
      <c r="AV12" s="127" t="s">
        <v>20</v>
      </c>
      <c r="AW12" s="15" t="s">
        <v>6</v>
      </c>
      <c r="AX12" s="268">
        <v>45709</v>
      </c>
      <c r="AY12" s="268">
        <f>AX12</f>
        <v>45709</v>
      </c>
      <c r="AZ12" s="172" t="s">
        <v>538</v>
      </c>
      <c r="BA12" s="173"/>
      <c r="BB12" s="127" t="s">
        <v>20</v>
      </c>
      <c r="BC12" s="121" t="s">
        <v>539</v>
      </c>
      <c r="BD12" s="121" t="s">
        <v>21</v>
      </c>
      <c r="BE12" s="269">
        <f>BF12-2</f>
        <v>45749</v>
      </c>
      <c r="BF12" s="269">
        <v>45751</v>
      </c>
      <c r="BG12" s="15" t="s">
        <v>505</v>
      </c>
      <c r="BH12" s="168"/>
      <c r="BI12" s="127" t="s">
        <v>20</v>
      </c>
      <c r="BJ12" s="121">
        <v>45824</v>
      </c>
      <c r="BK12" s="121">
        <v>45824</v>
      </c>
      <c r="BL12" s="25">
        <v>1330</v>
      </c>
      <c r="BM12" s="24" t="s">
        <v>540</v>
      </c>
      <c r="BN12" s="24"/>
      <c r="BO12" s="24"/>
    </row>
    <row r="13" spans="1:67" ht="14.25" customHeight="1">
      <c r="A13" s="15" t="s">
        <v>0</v>
      </c>
      <c r="B13" s="19"/>
      <c r="C13" s="169"/>
      <c r="D13" s="120"/>
      <c r="E13" s="120"/>
      <c r="F13" s="120"/>
      <c r="G13" s="120"/>
      <c r="H13" s="170"/>
      <c r="I13" s="19"/>
      <c r="J13" s="19"/>
      <c r="K13" s="171"/>
      <c r="L13" s="163"/>
      <c r="M13" s="15"/>
      <c r="N13" s="15"/>
      <c r="O13" s="15"/>
      <c r="P13" s="165"/>
      <c r="Q13" s="163"/>
      <c r="R13" s="15"/>
      <c r="S13" s="165"/>
      <c r="T13" s="166"/>
      <c r="U13" s="166"/>
      <c r="V13" s="16">
        <v>196.74299999999999</v>
      </c>
      <c r="W13" s="15" t="s">
        <v>499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67"/>
      <c r="AM13" s="15"/>
      <c r="AN13" s="24"/>
      <c r="AO13" s="24"/>
      <c r="AP13" s="24"/>
      <c r="AQ13" s="24"/>
      <c r="AR13" s="24"/>
      <c r="AS13" s="25"/>
      <c r="AT13" s="25"/>
      <c r="AU13" s="168"/>
      <c r="AV13" s="24"/>
      <c r="AW13" s="24"/>
      <c r="AX13" s="268"/>
      <c r="AY13" s="268"/>
      <c r="AZ13" s="24"/>
      <c r="BA13" s="168"/>
      <c r="BB13" s="24"/>
      <c r="BC13" s="24"/>
      <c r="BD13" s="24"/>
      <c r="BE13" s="24"/>
      <c r="BF13" s="24"/>
      <c r="BG13" s="24"/>
      <c r="BH13" s="16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69" t="s">
        <v>39</v>
      </c>
      <c r="D14" s="120">
        <v>7.7080000000000002</v>
      </c>
      <c r="E14" s="120">
        <f>D14*4</f>
        <v>30.832000000000001</v>
      </c>
      <c r="F14" s="120">
        <f>E14*8</f>
        <v>246.65600000000001</v>
      </c>
      <c r="G14" s="120"/>
      <c r="H14" s="170"/>
      <c r="I14" s="19"/>
      <c r="J14" s="19"/>
      <c r="K14" s="171"/>
      <c r="L14" s="163">
        <v>4.0570000000000004</v>
      </c>
      <c r="M14" s="15">
        <v>2.48</v>
      </c>
      <c r="N14" s="15">
        <v>6.0000000000000001E-3</v>
      </c>
      <c r="O14" s="15">
        <v>0.36499999999999999</v>
      </c>
      <c r="P14" s="165">
        <f t="shared" si="2"/>
        <v>6.9080000000000013</v>
      </c>
      <c r="Q14" s="163">
        <v>0.436</v>
      </c>
      <c r="R14" s="15">
        <v>0.01</v>
      </c>
      <c r="S14" s="165">
        <f t="shared" si="3"/>
        <v>0.44600000000000001</v>
      </c>
      <c r="T14" s="166" t="s">
        <v>40</v>
      </c>
      <c r="U14" s="166" t="s">
        <v>535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67"/>
      <c r="AM14" s="127" t="s">
        <v>20</v>
      </c>
      <c r="AN14" s="121" t="str">
        <f>AO14</f>
        <v>D</v>
      </c>
      <c r="AO14" s="121" t="s">
        <v>21</v>
      </c>
      <c r="AP14" s="338">
        <f>AQ14-3</f>
        <v>45736</v>
      </c>
      <c r="AQ14" s="338">
        <f t="shared" ref="AQ14:AR14" si="7">AR14-2</f>
        <v>45739</v>
      </c>
      <c r="AR14" s="338">
        <f t="shared" si="7"/>
        <v>45741</v>
      </c>
      <c r="AS14" s="507">
        <v>45743</v>
      </c>
      <c r="AT14" s="25" t="s">
        <v>537</v>
      </c>
      <c r="AU14" s="168"/>
      <c r="AV14" s="127" t="s">
        <v>20</v>
      </c>
      <c r="AW14" s="15" t="s">
        <v>6</v>
      </c>
      <c r="AX14" s="268">
        <v>45709</v>
      </c>
      <c r="AY14" s="268">
        <f>AX14</f>
        <v>45709</v>
      </c>
      <c r="AZ14" s="172" t="s">
        <v>538</v>
      </c>
      <c r="BA14" s="173"/>
      <c r="BB14" s="127" t="s">
        <v>20</v>
      </c>
      <c r="BC14" s="121" t="s">
        <v>542</v>
      </c>
      <c r="BD14" s="121" t="s">
        <v>21</v>
      </c>
      <c r="BE14" s="269">
        <f>BF14-2</f>
        <v>45758</v>
      </c>
      <c r="BF14" s="269">
        <v>45760</v>
      </c>
      <c r="BG14" s="15" t="s">
        <v>505</v>
      </c>
      <c r="BH14" s="168"/>
      <c r="BI14" s="127" t="s">
        <v>20</v>
      </c>
      <c r="BJ14" s="121">
        <v>45824</v>
      </c>
      <c r="BK14" s="121">
        <v>45824</v>
      </c>
      <c r="BL14" s="25">
        <v>1001</v>
      </c>
      <c r="BM14" s="175" t="s">
        <v>540</v>
      </c>
      <c r="BN14" s="24"/>
      <c r="BO14" s="24"/>
    </row>
    <row r="15" spans="1:67" ht="14.25" customHeight="1">
      <c r="A15" s="15" t="s">
        <v>0</v>
      </c>
      <c r="B15" s="19"/>
      <c r="C15" s="169"/>
      <c r="D15" s="120"/>
      <c r="E15" s="120"/>
      <c r="F15" s="120"/>
      <c r="G15" s="120"/>
      <c r="H15" s="170"/>
      <c r="I15" s="19"/>
      <c r="J15" s="19"/>
      <c r="K15" s="171"/>
      <c r="L15" s="163"/>
      <c r="M15" s="15"/>
      <c r="N15" s="15"/>
      <c r="O15" s="15"/>
      <c r="P15" s="165"/>
      <c r="Q15" s="163"/>
      <c r="R15" s="15"/>
      <c r="S15" s="165"/>
      <c r="T15" s="166"/>
      <c r="U15" s="166"/>
      <c r="V15" s="16">
        <v>334</v>
      </c>
      <c r="W15" s="15" t="s">
        <v>499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67"/>
      <c r="AM15" s="15"/>
      <c r="AN15" s="24"/>
      <c r="AO15" s="24"/>
      <c r="AP15" s="24"/>
      <c r="AQ15" s="24"/>
      <c r="AR15" s="24"/>
      <c r="AS15" s="25"/>
      <c r="AT15" s="25"/>
      <c r="AU15" s="168"/>
      <c r="AV15" s="24"/>
      <c r="AW15" s="24"/>
      <c r="AX15" s="268"/>
      <c r="AY15" s="268"/>
      <c r="AZ15" s="24"/>
      <c r="BA15" s="168"/>
      <c r="BB15" s="24"/>
      <c r="BC15" s="24"/>
      <c r="BD15" s="24"/>
      <c r="BE15" s="24"/>
      <c r="BF15" s="24"/>
      <c r="BG15" s="24"/>
      <c r="BH15" s="16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69" t="s">
        <v>42</v>
      </c>
      <c r="D16" s="120">
        <v>6.3620000000000001</v>
      </c>
      <c r="E16" s="120">
        <f>D16*4</f>
        <v>25.448</v>
      </c>
      <c r="F16" s="120">
        <f>E16*8</f>
        <v>203.584</v>
      </c>
      <c r="G16" s="120"/>
      <c r="H16" s="170"/>
      <c r="I16" s="19"/>
      <c r="J16" s="19"/>
      <c r="K16" s="171"/>
      <c r="L16" s="163">
        <v>2.25</v>
      </c>
      <c r="M16" s="15">
        <v>2.1880000000000002</v>
      </c>
      <c r="N16" s="15">
        <v>2E-3</v>
      </c>
      <c r="O16" s="15">
        <v>0.183</v>
      </c>
      <c r="P16" s="165">
        <f t="shared" si="2"/>
        <v>4.6230000000000002</v>
      </c>
      <c r="Q16" s="163">
        <v>0.24399999999999999</v>
      </c>
      <c r="R16" s="15">
        <v>5.0000000000000001E-3</v>
      </c>
      <c r="S16" s="165">
        <f t="shared" si="3"/>
        <v>0.249</v>
      </c>
      <c r="T16" s="166" t="s">
        <v>31</v>
      </c>
      <c r="U16" s="166" t="s">
        <v>535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67"/>
      <c r="AM16" s="127" t="s">
        <v>20</v>
      </c>
      <c r="AN16" s="121" t="str">
        <f>AO16</f>
        <v>D</v>
      </c>
      <c r="AO16" s="121" t="s">
        <v>21</v>
      </c>
      <c r="AP16" s="338">
        <f>AQ16-2</f>
        <v>45706</v>
      </c>
      <c r="AQ16" s="338">
        <f>AR16-1</f>
        <v>45708</v>
      </c>
      <c r="AR16" s="338">
        <f>AS16-2</f>
        <v>45709</v>
      </c>
      <c r="AS16" s="507">
        <v>45711</v>
      </c>
      <c r="AT16" s="25" t="s">
        <v>537</v>
      </c>
      <c r="AU16" s="168"/>
      <c r="AV16" s="127" t="s">
        <v>20</v>
      </c>
      <c r="AW16" s="15" t="s">
        <v>543</v>
      </c>
      <c r="AX16" s="268">
        <v>45709</v>
      </c>
      <c r="AY16" s="268">
        <f>AX16</f>
        <v>45709</v>
      </c>
      <c r="AZ16" s="172" t="s">
        <v>538</v>
      </c>
      <c r="BA16" s="173"/>
      <c r="BB16" s="127" t="s">
        <v>20</v>
      </c>
      <c r="BC16" s="121" t="s">
        <v>539</v>
      </c>
      <c r="BD16" s="121" t="s">
        <v>21</v>
      </c>
      <c r="BE16" s="269">
        <f>BF16-2</f>
        <v>45747</v>
      </c>
      <c r="BF16" s="269">
        <v>45749</v>
      </c>
      <c r="BG16" s="15" t="s">
        <v>505</v>
      </c>
      <c r="BH16" s="168"/>
      <c r="BI16" s="127" t="s">
        <v>20</v>
      </c>
      <c r="BJ16" s="121">
        <v>45825</v>
      </c>
      <c r="BK16" s="121">
        <v>45825</v>
      </c>
      <c r="BL16" s="25">
        <v>980</v>
      </c>
      <c r="BM16" s="24" t="s">
        <v>540</v>
      </c>
      <c r="BN16" s="24"/>
      <c r="BO16" s="24"/>
    </row>
    <row r="17" spans="1:65" ht="14.25" customHeight="1">
      <c r="A17" s="15" t="s">
        <v>0</v>
      </c>
      <c r="B17" s="19"/>
      <c r="C17" s="169"/>
      <c r="D17" s="120"/>
      <c r="E17" s="120"/>
      <c r="F17" s="120"/>
      <c r="G17" s="120"/>
      <c r="H17" s="170"/>
      <c r="I17" s="19"/>
      <c r="J17" s="19"/>
      <c r="K17" s="171"/>
      <c r="L17" s="163"/>
      <c r="M17" s="15"/>
      <c r="N17" s="15"/>
      <c r="O17" s="15"/>
      <c r="P17" s="165"/>
      <c r="Q17" s="163"/>
      <c r="R17" s="15"/>
      <c r="S17" s="165"/>
      <c r="T17" s="166"/>
      <c r="U17" s="166"/>
      <c r="V17" s="16">
        <v>319</v>
      </c>
      <c r="W17" s="15" t="s">
        <v>564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67"/>
      <c r="AM17" s="15"/>
      <c r="AN17" s="24"/>
      <c r="AO17" s="24"/>
      <c r="AP17" s="24"/>
      <c r="AQ17" s="24"/>
      <c r="AR17" s="24"/>
      <c r="AS17" s="25"/>
      <c r="AT17" s="25"/>
      <c r="AU17" s="168"/>
      <c r="AV17" s="24"/>
      <c r="AW17" s="24"/>
      <c r="AX17" s="268"/>
      <c r="AY17" s="268"/>
      <c r="AZ17" s="24"/>
      <c r="BA17" s="168"/>
      <c r="BB17" s="24"/>
      <c r="BC17" s="24"/>
      <c r="BD17" s="24"/>
      <c r="BE17" s="24"/>
      <c r="BF17" s="24"/>
      <c r="BG17" s="24"/>
      <c r="BH17" s="16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69" t="s">
        <v>37</v>
      </c>
      <c r="D18" s="120">
        <v>6.992</v>
      </c>
      <c r="E18" s="120">
        <f>D18*4</f>
        <v>27.968</v>
      </c>
      <c r="F18" s="120">
        <f>E18*8</f>
        <v>223.744</v>
      </c>
      <c r="G18" s="120"/>
      <c r="H18" s="170"/>
      <c r="I18" s="19"/>
      <c r="J18" s="19"/>
      <c r="K18" s="171"/>
      <c r="L18" s="163">
        <v>2.6070000000000002</v>
      </c>
      <c r="M18" s="15">
        <v>2.657</v>
      </c>
      <c r="N18" s="15">
        <v>2E-3</v>
      </c>
      <c r="O18" s="15">
        <v>0.21299999999999999</v>
      </c>
      <c r="P18" s="165">
        <f t="shared" si="2"/>
        <v>5.4790000000000001</v>
      </c>
      <c r="Q18" s="163">
        <v>0.24399999999999999</v>
      </c>
      <c r="R18" s="15">
        <v>5.0000000000000001E-3</v>
      </c>
      <c r="S18" s="165">
        <f t="shared" si="3"/>
        <v>0.249</v>
      </c>
      <c r="T18" s="166"/>
      <c r="U18" s="166" t="s">
        <v>535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76"/>
      <c r="AG18" s="176">
        <v>206.46</v>
      </c>
      <c r="AH18" s="176"/>
      <c r="AI18" s="176"/>
      <c r="AJ18" s="176">
        <v>581.69000000000005</v>
      </c>
      <c r="AK18" s="15">
        <v>0.58169000000000004</v>
      </c>
      <c r="AL18" s="167"/>
      <c r="AM18" s="127" t="s">
        <v>20</v>
      </c>
      <c r="AN18" s="121" t="str">
        <f>AO18</f>
        <v>D</v>
      </c>
      <c r="AO18" s="121" t="s">
        <v>21</v>
      </c>
      <c r="AP18" s="338">
        <f t="shared" ref="AP18:AR18" si="10">AQ18-1</f>
        <v>45691</v>
      </c>
      <c r="AQ18" s="338">
        <f t="shared" si="10"/>
        <v>45692</v>
      </c>
      <c r="AR18" s="338">
        <f t="shared" si="10"/>
        <v>45693</v>
      </c>
      <c r="AS18" s="507">
        <v>45694</v>
      </c>
      <c r="AT18" s="25" t="s">
        <v>537</v>
      </c>
      <c r="AU18" s="168"/>
      <c r="AV18" s="127" t="s">
        <v>20</v>
      </c>
      <c r="AW18" s="15" t="s">
        <v>6</v>
      </c>
      <c r="AX18" s="268">
        <v>45709</v>
      </c>
      <c r="AY18" s="268">
        <f>AX18</f>
        <v>45709</v>
      </c>
      <c r="AZ18" s="172" t="s">
        <v>538</v>
      </c>
      <c r="BA18" s="173"/>
      <c r="BB18" s="127" t="s">
        <v>20</v>
      </c>
      <c r="BC18" s="121" t="s">
        <v>542</v>
      </c>
      <c r="BD18" s="121" t="s">
        <v>21</v>
      </c>
      <c r="BE18" s="269">
        <f>BF18-2</f>
        <v>45745</v>
      </c>
      <c r="BF18" s="269">
        <v>45747</v>
      </c>
      <c r="BG18" s="15" t="s">
        <v>505</v>
      </c>
      <c r="BH18" s="168"/>
      <c r="BI18" s="127" t="s">
        <v>20</v>
      </c>
      <c r="BJ18" s="121">
        <v>45825</v>
      </c>
      <c r="BK18" s="121">
        <v>45825</v>
      </c>
      <c r="BL18" s="25">
        <v>1330</v>
      </c>
      <c r="BM18" s="24" t="s">
        <v>540</v>
      </c>
    </row>
    <row r="19" spans="1:65" ht="14.25" customHeight="1">
      <c r="A19" s="15" t="s">
        <v>0</v>
      </c>
      <c r="B19" s="19"/>
      <c r="C19" s="169"/>
      <c r="D19" s="120"/>
      <c r="E19" s="120"/>
      <c r="F19" s="120"/>
      <c r="G19" s="120"/>
      <c r="H19" s="170"/>
      <c r="I19" s="19"/>
      <c r="J19" s="19"/>
      <c r="K19" s="171"/>
      <c r="L19" s="163"/>
      <c r="M19" s="15"/>
      <c r="N19" s="15"/>
      <c r="O19" s="15"/>
      <c r="P19" s="165"/>
      <c r="Q19" s="163"/>
      <c r="R19" s="15"/>
      <c r="S19" s="165"/>
      <c r="T19" s="166"/>
      <c r="U19" s="166"/>
      <c r="V19" s="16">
        <v>384.31799999999998</v>
      </c>
      <c r="W19" s="15" t="s">
        <v>499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67"/>
      <c r="AM19" s="15"/>
      <c r="AN19" s="24"/>
      <c r="AO19" s="24"/>
      <c r="AP19" s="24"/>
      <c r="AQ19" s="24"/>
      <c r="AR19" s="24"/>
      <c r="AS19" s="25"/>
      <c r="AT19" s="25"/>
      <c r="AU19" s="168"/>
      <c r="AV19" s="24"/>
      <c r="AW19" s="24"/>
      <c r="AX19" s="268"/>
      <c r="AY19" s="268"/>
      <c r="AZ19" s="24"/>
      <c r="BA19" s="168"/>
      <c r="BB19" s="24"/>
      <c r="BC19" s="24"/>
      <c r="BD19" s="24"/>
      <c r="BE19" s="24"/>
      <c r="BF19" s="24"/>
      <c r="BG19" s="24"/>
      <c r="BH19" s="16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69" t="s">
        <v>46</v>
      </c>
      <c r="D20" s="120">
        <v>8.6259999999999994</v>
      </c>
      <c r="E20" s="120">
        <f>D20*4</f>
        <v>34.503999999999998</v>
      </c>
      <c r="F20" s="120">
        <f>E20*8</f>
        <v>276.03199999999998</v>
      </c>
      <c r="G20" s="120"/>
      <c r="H20" s="170"/>
      <c r="I20" s="19"/>
      <c r="J20" s="19"/>
      <c r="K20" s="171"/>
      <c r="L20" s="16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65">
        <f t="shared" si="2"/>
        <v>8.2024000000000008</v>
      </c>
      <c r="Q20" s="163">
        <v>0.436</v>
      </c>
      <c r="R20" s="15">
        <v>0.01</v>
      </c>
      <c r="S20" s="165">
        <f t="shared" si="3"/>
        <v>0.44600000000000001</v>
      </c>
      <c r="T20" s="166" t="s">
        <v>297</v>
      </c>
      <c r="U20" s="166" t="s">
        <v>535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67"/>
      <c r="AM20" s="127" t="s">
        <v>20</v>
      </c>
      <c r="AN20" s="121" t="str">
        <f>AO20</f>
        <v>D</v>
      </c>
      <c r="AO20" s="121" t="s">
        <v>21</v>
      </c>
      <c r="AP20" s="338">
        <f>AQ20-3</f>
        <v>45698</v>
      </c>
      <c r="AQ20" s="338">
        <f t="shared" ref="AQ20:AR20" si="12">AR20-2</f>
        <v>45701</v>
      </c>
      <c r="AR20" s="338">
        <f t="shared" si="12"/>
        <v>45703</v>
      </c>
      <c r="AS20" s="507">
        <v>45705</v>
      </c>
      <c r="AT20" s="25" t="s">
        <v>537</v>
      </c>
      <c r="AU20" s="168"/>
      <c r="AV20" s="127" t="s">
        <v>20</v>
      </c>
      <c r="AW20" s="15" t="s">
        <v>6</v>
      </c>
      <c r="AX20" s="268">
        <v>45733</v>
      </c>
      <c r="AY20" s="268">
        <f>AX20</f>
        <v>45733</v>
      </c>
      <c r="AZ20" s="172" t="s">
        <v>538</v>
      </c>
      <c r="BA20" s="173"/>
      <c r="BB20" s="127" t="s">
        <v>20</v>
      </c>
      <c r="BC20" s="121" t="s">
        <v>542</v>
      </c>
      <c r="BD20" s="121" t="s">
        <v>21</v>
      </c>
      <c r="BE20" s="269">
        <f>BF20-2</f>
        <v>45768</v>
      </c>
      <c r="BF20" s="269">
        <v>45770</v>
      </c>
      <c r="BG20" s="15" t="s">
        <v>505</v>
      </c>
      <c r="BH20" s="168"/>
      <c r="BI20" s="127" t="s">
        <v>20</v>
      </c>
      <c r="BJ20" s="121">
        <v>45827</v>
      </c>
      <c r="BK20" s="121">
        <v>45827</v>
      </c>
      <c r="BL20" s="25">
        <v>1433</v>
      </c>
      <c r="BM20" s="175" t="s">
        <v>540</v>
      </c>
    </row>
    <row r="21" spans="1:65" ht="14.25" customHeight="1">
      <c r="A21" s="15" t="s">
        <v>0</v>
      </c>
      <c r="B21" s="19"/>
      <c r="C21" s="169"/>
      <c r="D21" s="120"/>
      <c r="E21" s="120"/>
      <c r="F21" s="120"/>
      <c r="G21" s="120"/>
      <c r="H21" s="170"/>
      <c r="I21" s="19"/>
      <c r="J21" s="19"/>
      <c r="K21" s="171"/>
      <c r="L21" s="163"/>
      <c r="M21" s="15"/>
      <c r="N21" s="15"/>
      <c r="O21" s="15"/>
      <c r="P21" s="165"/>
      <c r="Q21" s="163"/>
      <c r="R21" s="15"/>
      <c r="S21" s="165"/>
      <c r="T21" s="166"/>
      <c r="U21" s="166"/>
      <c r="V21" s="16">
        <v>329</v>
      </c>
      <c r="W21" s="15" t="s">
        <v>499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67"/>
      <c r="AM21" s="15"/>
      <c r="AN21" s="24"/>
      <c r="AO21" s="24"/>
      <c r="AP21" s="24"/>
      <c r="AQ21" s="24"/>
      <c r="AR21" s="24"/>
      <c r="AS21" s="25"/>
      <c r="AT21" s="25"/>
      <c r="AU21" s="168"/>
      <c r="AV21" s="24"/>
      <c r="AW21" s="24"/>
      <c r="AX21" s="268"/>
      <c r="AY21" s="268"/>
      <c r="AZ21" s="24"/>
      <c r="BA21" s="168"/>
      <c r="BB21" s="24"/>
      <c r="BC21" s="24"/>
      <c r="BD21" s="24"/>
      <c r="BE21" s="24"/>
      <c r="BF21" s="24"/>
      <c r="BG21" s="24"/>
      <c r="BH21" s="16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69" t="s">
        <v>37</v>
      </c>
      <c r="D22" s="120">
        <v>6.992</v>
      </c>
      <c r="E22" s="120">
        <f>D22*4</f>
        <v>27.968</v>
      </c>
      <c r="F22" s="120">
        <f>E22*8</f>
        <v>223.744</v>
      </c>
      <c r="G22" s="120"/>
      <c r="H22" s="170"/>
      <c r="I22" s="19"/>
      <c r="J22" s="19"/>
      <c r="K22" s="171"/>
      <c r="L22" s="163">
        <v>2.6070000000000002</v>
      </c>
      <c r="M22" s="15">
        <v>2.657</v>
      </c>
      <c r="N22" s="15">
        <v>2E-3</v>
      </c>
      <c r="O22" s="15">
        <v>0.21299999999999999</v>
      </c>
      <c r="P22" s="165">
        <f t="shared" si="2"/>
        <v>5.4790000000000001</v>
      </c>
      <c r="Q22" s="163">
        <v>0.24399999999999999</v>
      </c>
      <c r="R22" s="15">
        <v>5.0000000000000001E-3</v>
      </c>
      <c r="S22" s="165">
        <f t="shared" si="3"/>
        <v>0.249</v>
      </c>
      <c r="T22" s="166" t="s">
        <v>31</v>
      </c>
      <c r="U22" s="166" t="s">
        <v>535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76"/>
      <c r="AG22" s="176">
        <v>206.46</v>
      </c>
      <c r="AH22" s="176"/>
      <c r="AI22" s="176"/>
      <c r="AJ22" s="176">
        <v>581.69000000000005</v>
      </c>
      <c r="AK22" s="15">
        <v>0.58169000000000004</v>
      </c>
      <c r="AL22" s="167"/>
      <c r="AM22" s="127" t="s">
        <v>20</v>
      </c>
      <c r="AN22" s="121" t="str">
        <f>AO22</f>
        <v>D</v>
      </c>
      <c r="AO22" s="121" t="s">
        <v>21</v>
      </c>
      <c r="AP22" s="338">
        <v>45688</v>
      </c>
      <c r="AQ22" s="338">
        <f>AP22+2</f>
        <v>45690</v>
      </c>
      <c r="AR22" s="338">
        <f>AS22-2</f>
        <v>45691</v>
      </c>
      <c r="AS22" s="507">
        <v>45693</v>
      </c>
      <c r="AT22" s="25" t="s">
        <v>538</v>
      </c>
      <c r="AU22" s="168"/>
      <c r="AV22" s="127" t="s">
        <v>20</v>
      </c>
      <c r="AW22" s="15" t="s">
        <v>6</v>
      </c>
      <c r="AX22" s="268">
        <v>45709</v>
      </c>
      <c r="AY22" s="268">
        <f>AX22</f>
        <v>45709</v>
      </c>
      <c r="AZ22" s="172" t="s">
        <v>538</v>
      </c>
      <c r="BA22" s="173"/>
      <c r="BB22" s="127" t="s">
        <v>20</v>
      </c>
      <c r="BC22" s="121" t="s">
        <v>539</v>
      </c>
      <c r="BD22" s="121" t="s">
        <v>21</v>
      </c>
      <c r="BE22" s="269">
        <f>BF22-2</f>
        <v>45751</v>
      </c>
      <c r="BF22" s="269">
        <v>45753</v>
      </c>
      <c r="BG22" s="15" t="s">
        <v>505</v>
      </c>
      <c r="BH22" s="168"/>
      <c r="BI22" s="127" t="s">
        <v>20</v>
      </c>
      <c r="BJ22" s="121">
        <v>45827</v>
      </c>
      <c r="BK22" s="121">
        <v>45827</v>
      </c>
      <c r="BL22" s="25">
        <v>1330</v>
      </c>
      <c r="BM22" s="24" t="s">
        <v>540</v>
      </c>
    </row>
    <row r="23" spans="1:65" ht="14.25" customHeight="1">
      <c r="A23" s="15" t="s">
        <v>0</v>
      </c>
      <c r="B23" s="19"/>
      <c r="C23" s="169"/>
      <c r="D23" s="120"/>
      <c r="E23" s="120"/>
      <c r="F23" s="120"/>
      <c r="G23" s="120"/>
      <c r="H23" s="170"/>
      <c r="I23" s="19"/>
      <c r="J23" s="19"/>
      <c r="K23" s="171"/>
      <c r="L23" s="163"/>
      <c r="M23" s="15"/>
      <c r="N23" s="15"/>
      <c r="O23" s="15"/>
      <c r="P23" s="165"/>
      <c r="Q23" s="163"/>
      <c r="R23" s="15"/>
      <c r="S23" s="165"/>
      <c r="T23" s="166"/>
      <c r="U23" s="166"/>
      <c r="V23" s="16">
        <v>280</v>
      </c>
      <c r="W23" s="15" t="s">
        <v>499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67"/>
      <c r="AM23" s="15"/>
      <c r="AN23" s="24"/>
      <c r="AO23" s="24"/>
      <c r="AP23" s="24"/>
      <c r="AQ23" s="24"/>
      <c r="AR23" s="24"/>
      <c r="AS23" s="25"/>
      <c r="AT23" s="25"/>
      <c r="AU23" s="168"/>
      <c r="AV23" s="24"/>
      <c r="AW23" s="24"/>
      <c r="AX23" s="268"/>
      <c r="AY23" s="268"/>
      <c r="AZ23" s="24"/>
      <c r="BA23" s="168"/>
      <c r="BB23" s="24"/>
      <c r="BC23" s="24"/>
      <c r="BD23" s="24"/>
      <c r="BE23" s="24"/>
      <c r="BF23" s="24"/>
      <c r="BG23" s="24"/>
      <c r="BH23" s="16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69" t="s">
        <v>39</v>
      </c>
      <c r="D24" s="120">
        <v>7.7080000000000002</v>
      </c>
      <c r="E24" s="120">
        <f>D24*4</f>
        <v>30.832000000000001</v>
      </c>
      <c r="F24" s="120">
        <f>E24*8</f>
        <v>246.65600000000001</v>
      </c>
      <c r="G24" s="120"/>
      <c r="H24" s="170"/>
      <c r="I24" s="19"/>
      <c r="J24" s="19"/>
      <c r="K24" s="171"/>
      <c r="L24" s="163">
        <v>4.0570000000000004</v>
      </c>
      <c r="M24" s="15">
        <v>2.48</v>
      </c>
      <c r="N24" s="15">
        <v>6.0000000000000001E-3</v>
      </c>
      <c r="O24" s="15">
        <v>0.36499999999999999</v>
      </c>
      <c r="P24" s="165">
        <f t="shared" si="2"/>
        <v>6.9080000000000013</v>
      </c>
      <c r="Q24" s="163">
        <v>0.436</v>
      </c>
      <c r="R24" s="15">
        <v>0.01</v>
      </c>
      <c r="S24" s="165">
        <f t="shared" si="3"/>
        <v>0.44600000000000001</v>
      </c>
      <c r="T24" s="166" t="s">
        <v>31</v>
      </c>
      <c r="U24" s="166" t="s">
        <v>535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67"/>
      <c r="AM24" s="127" t="s">
        <v>20</v>
      </c>
      <c r="AN24" s="121" t="str">
        <f>AO24</f>
        <v>D</v>
      </c>
      <c r="AO24" s="121" t="s">
        <v>21</v>
      </c>
      <c r="AP24" s="338">
        <v>45681</v>
      </c>
      <c r="AQ24" s="338">
        <f>AP24+2</f>
        <v>45683</v>
      </c>
      <c r="AR24" s="338">
        <f>AS24-2</f>
        <v>45688</v>
      </c>
      <c r="AS24" s="507">
        <v>45690</v>
      </c>
      <c r="AT24" s="25" t="s">
        <v>538</v>
      </c>
      <c r="AU24" s="168"/>
      <c r="AV24" s="127" t="s">
        <v>20</v>
      </c>
      <c r="AW24" s="15" t="s">
        <v>6</v>
      </c>
      <c r="AX24" s="268">
        <v>45733</v>
      </c>
      <c r="AY24" s="268">
        <f>AX24</f>
        <v>45733</v>
      </c>
      <c r="AZ24" s="172" t="s">
        <v>538</v>
      </c>
      <c r="BA24" s="173"/>
      <c r="BB24" s="127" t="s">
        <v>20</v>
      </c>
      <c r="BC24" s="121" t="s">
        <v>542</v>
      </c>
      <c r="BD24" s="121" t="s">
        <v>21</v>
      </c>
      <c r="BE24" s="269">
        <f>BF24-2</f>
        <v>45761</v>
      </c>
      <c r="BF24" s="269">
        <v>45763</v>
      </c>
      <c r="BG24" s="15" t="s">
        <v>505</v>
      </c>
      <c r="BH24" s="168"/>
      <c r="BI24" s="127" t="s">
        <v>20</v>
      </c>
      <c r="BJ24" s="121">
        <v>45830</v>
      </c>
      <c r="BK24" s="121">
        <v>45830</v>
      </c>
      <c r="BL24" s="25">
        <v>1001</v>
      </c>
      <c r="BM24" s="175" t="s">
        <v>540</v>
      </c>
    </row>
    <row r="25" spans="1:65" ht="14.25" customHeight="1">
      <c r="A25" s="15" t="s">
        <v>0</v>
      </c>
      <c r="B25" s="19"/>
      <c r="C25" s="169"/>
      <c r="D25" s="120"/>
      <c r="E25" s="120"/>
      <c r="F25" s="120"/>
      <c r="G25" s="120"/>
      <c r="H25" s="170"/>
      <c r="I25" s="19"/>
      <c r="J25" s="19"/>
      <c r="K25" s="171"/>
      <c r="L25" s="163"/>
      <c r="M25" s="15"/>
      <c r="N25" s="15"/>
      <c r="O25" s="15"/>
      <c r="P25" s="165"/>
      <c r="Q25" s="163"/>
      <c r="R25" s="15"/>
      <c r="S25" s="165"/>
      <c r="T25" s="166"/>
      <c r="U25" s="166"/>
      <c r="V25" s="16">
        <v>232.09800000000001</v>
      </c>
      <c r="W25" s="15" t="s">
        <v>536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67"/>
      <c r="AM25" s="15"/>
      <c r="AN25" s="24"/>
      <c r="AO25" s="24"/>
      <c r="AP25" s="24"/>
      <c r="AQ25" s="24"/>
      <c r="AR25" s="24"/>
      <c r="AS25" s="25"/>
      <c r="AT25" s="25"/>
      <c r="AU25" s="168"/>
      <c r="AV25" s="24"/>
      <c r="AW25" s="24"/>
      <c r="AX25" s="268"/>
      <c r="AY25" s="268"/>
      <c r="AZ25" s="24"/>
      <c r="BA25" s="168"/>
      <c r="BB25" s="24"/>
      <c r="BC25" s="24"/>
      <c r="BD25" s="24"/>
      <c r="BE25" s="24"/>
      <c r="BF25" s="24"/>
      <c r="BG25" s="24"/>
      <c r="BH25" s="16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69" t="s">
        <v>51</v>
      </c>
      <c r="D26" s="120">
        <v>10.82</v>
      </c>
      <c r="E26" s="120">
        <f>D26*4</f>
        <v>43.28</v>
      </c>
      <c r="F26" s="120">
        <f>E26*8</f>
        <v>346.24</v>
      </c>
      <c r="G26" s="120"/>
      <c r="H26" s="170"/>
      <c r="I26" s="19"/>
      <c r="J26" s="19"/>
      <c r="K26" s="171"/>
      <c r="L26" s="163">
        <v>5.4920000000000009</v>
      </c>
      <c r="M26" s="15">
        <v>5.0969999999999995</v>
      </c>
      <c r="N26" s="15">
        <v>7.4000000000000003E-3</v>
      </c>
      <c r="O26" s="15">
        <v>0.502</v>
      </c>
      <c r="P26" s="165">
        <f t="shared" si="2"/>
        <v>11.098400000000002</v>
      </c>
      <c r="Q26" s="163">
        <v>0.55700000000000005</v>
      </c>
      <c r="R26" s="15">
        <v>0.01</v>
      </c>
      <c r="S26" s="165">
        <f t="shared" si="3"/>
        <v>0.56700000000000006</v>
      </c>
      <c r="T26" s="166" t="s">
        <v>298</v>
      </c>
      <c r="U26" s="166" t="s">
        <v>535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67"/>
      <c r="AM26" s="127" t="s">
        <v>20</v>
      </c>
      <c r="AN26" s="121" t="str">
        <f>AO26</f>
        <v>D</v>
      </c>
      <c r="AO26" s="121" t="s">
        <v>21</v>
      </c>
      <c r="AP26" s="338">
        <f>AQ26-2</f>
        <v>45717</v>
      </c>
      <c r="AQ26" s="338">
        <f t="shared" ref="AQ26:AR26" si="16">AR26-1</f>
        <v>45719</v>
      </c>
      <c r="AR26" s="338">
        <f t="shared" si="16"/>
        <v>45720</v>
      </c>
      <c r="AS26" s="507">
        <v>45721</v>
      </c>
      <c r="AT26" s="25" t="s">
        <v>538</v>
      </c>
      <c r="AU26" s="168"/>
      <c r="AV26" s="127" t="s">
        <v>20</v>
      </c>
      <c r="AW26" s="15" t="s">
        <v>6</v>
      </c>
      <c r="AX26" s="268">
        <v>45733</v>
      </c>
      <c r="AY26" s="268">
        <f>AX26</f>
        <v>45733</v>
      </c>
      <c r="AZ26" s="172" t="s">
        <v>538</v>
      </c>
      <c r="BA26" s="173"/>
      <c r="BB26" s="127" t="s">
        <v>20</v>
      </c>
      <c r="BC26" s="121" t="s">
        <v>539</v>
      </c>
      <c r="BD26" s="121" t="s">
        <v>21</v>
      </c>
      <c r="BE26" s="269">
        <f>BF26-2</f>
        <v>45772</v>
      </c>
      <c r="BF26" s="269">
        <v>45774</v>
      </c>
      <c r="BG26" s="15" t="s">
        <v>505</v>
      </c>
      <c r="BH26" s="168"/>
      <c r="BI26" s="127" t="s">
        <v>20</v>
      </c>
      <c r="BJ26" s="121">
        <v>45830</v>
      </c>
      <c r="BK26" s="121">
        <v>45830</v>
      </c>
      <c r="BL26" s="25">
        <v>1552</v>
      </c>
      <c r="BM26" s="175" t="s">
        <v>540</v>
      </c>
    </row>
    <row r="27" spans="1:65" ht="14.25" customHeight="1">
      <c r="A27" s="15" t="s">
        <v>0</v>
      </c>
      <c r="B27" s="19"/>
      <c r="C27" s="169"/>
      <c r="D27" s="120"/>
      <c r="E27" s="120"/>
      <c r="F27" s="120"/>
      <c r="G27" s="120"/>
      <c r="H27" s="170"/>
      <c r="I27" s="19"/>
      <c r="J27" s="19"/>
      <c r="K27" s="171"/>
      <c r="L27" s="163"/>
      <c r="M27" s="15"/>
      <c r="N27" s="15"/>
      <c r="O27" s="15"/>
      <c r="P27" s="165"/>
      <c r="Q27" s="163"/>
      <c r="R27" s="15"/>
      <c r="S27" s="165"/>
      <c r="T27" s="166"/>
      <c r="U27" s="166"/>
      <c r="V27" s="16">
        <v>237.78299999999999</v>
      </c>
      <c r="W27" s="15" t="s">
        <v>536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67"/>
      <c r="AM27" s="15"/>
      <c r="AN27" s="24"/>
      <c r="AO27" s="24"/>
      <c r="AP27" s="24"/>
      <c r="AQ27" s="24"/>
      <c r="AR27" s="24"/>
      <c r="AS27" s="25"/>
      <c r="AT27" s="25"/>
      <c r="AU27" s="168"/>
      <c r="AV27" s="24"/>
      <c r="AW27" s="24"/>
      <c r="AX27" s="268"/>
      <c r="AY27" s="268"/>
      <c r="AZ27" s="24"/>
      <c r="BA27" s="168"/>
      <c r="BB27" s="24"/>
      <c r="BC27" s="24"/>
      <c r="BD27" s="24"/>
      <c r="BE27" s="24"/>
      <c r="BF27" s="24"/>
      <c r="BG27" s="24"/>
      <c r="BH27" s="16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69" t="s">
        <v>54</v>
      </c>
      <c r="D28" s="120">
        <v>13.257999999999999</v>
      </c>
      <c r="E28" s="120">
        <f>D28*4</f>
        <v>53.031999999999996</v>
      </c>
      <c r="F28" s="120">
        <f>E28*8</f>
        <v>424.25599999999997</v>
      </c>
      <c r="G28" s="120"/>
      <c r="H28" s="170"/>
      <c r="I28" s="19"/>
      <c r="J28" s="19"/>
      <c r="K28" s="171"/>
      <c r="L28" s="16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65">
        <f t="shared" si="2"/>
        <v>12.5037</v>
      </c>
      <c r="Q28" s="163">
        <v>0.55700000000000005</v>
      </c>
      <c r="R28" s="15">
        <v>0.01</v>
      </c>
      <c r="S28" s="165">
        <f t="shared" si="3"/>
        <v>0.56700000000000006</v>
      </c>
      <c r="T28" s="166" t="s">
        <v>52</v>
      </c>
      <c r="U28" s="166" t="s">
        <v>535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67"/>
      <c r="AM28" s="127" t="s">
        <v>20</v>
      </c>
      <c r="AN28" s="121"/>
      <c r="AO28" s="121"/>
      <c r="AP28" s="338">
        <v>46057</v>
      </c>
      <c r="AQ28" s="338">
        <v>46074</v>
      </c>
      <c r="AR28" s="338"/>
      <c r="AS28" s="507">
        <v>46077</v>
      </c>
      <c r="AT28" s="25" t="s">
        <v>700</v>
      </c>
      <c r="AU28" s="168"/>
      <c r="AV28" s="127" t="s">
        <v>20</v>
      </c>
      <c r="AW28" s="15" t="s">
        <v>6</v>
      </c>
      <c r="AX28" s="268"/>
      <c r="AY28" s="268"/>
      <c r="AZ28" s="24"/>
      <c r="BA28" s="168"/>
      <c r="BB28" s="127" t="s">
        <v>20</v>
      </c>
      <c r="BC28" s="121"/>
      <c r="BD28" s="121"/>
      <c r="BE28" s="269">
        <v>46101</v>
      </c>
      <c r="BF28" s="269">
        <v>46106</v>
      </c>
      <c r="BG28" s="17" t="s">
        <v>737</v>
      </c>
      <c r="BH28" s="168"/>
      <c r="BI28" s="127" t="s">
        <v>20</v>
      </c>
      <c r="BJ28" s="24"/>
      <c r="BK28" s="24"/>
      <c r="BL28" s="25">
        <v>2008</v>
      </c>
      <c r="BM28" s="24" t="s">
        <v>707</v>
      </c>
    </row>
    <row r="29" spans="1:65" ht="14.25" customHeight="1">
      <c r="A29" s="15" t="s">
        <v>0</v>
      </c>
      <c r="B29" s="19"/>
      <c r="C29" s="169"/>
      <c r="D29" s="120"/>
      <c r="E29" s="120"/>
      <c r="F29" s="120"/>
      <c r="G29" s="120"/>
      <c r="H29" s="170"/>
      <c r="I29" s="19"/>
      <c r="J29" s="19"/>
      <c r="K29" s="171"/>
      <c r="L29" s="163"/>
      <c r="M29" s="15"/>
      <c r="N29" s="15"/>
      <c r="O29" s="15"/>
      <c r="P29" s="165"/>
      <c r="Q29" s="163"/>
      <c r="R29" s="15"/>
      <c r="S29" s="165"/>
      <c r="T29" s="166"/>
      <c r="U29" s="166"/>
      <c r="V29" s="16">
        <v>334</v>
      </c>
      <c r="W29" s="15" t="s">
        <v>536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67"/>
      <c r="AM29" s="15"/>
      <c r="AN29" s="24"/>
      <c r="AO29" s="24"/>
      <c r="AP29" s="24"/>
      <c r="AQ29" s="24"/>
      <c r="AR29" s="24"/>
      <c r="AS29" s="25"/>
      <c r="AT29" s="25"/>
      <c r="AU29" s="168"/>
      <c r="AV29" s="24"/>
      <c r="AW29" s="24"/>
      <c r="AX29" s="268"/>
      <c r="AY29" s="268"/>
      <c r="AZ29" s="24"/>
      <c r="BA29" s="168"/>
      <c r="BB29" s="24"/>
      <c r="BC29" s="24"/>
      <c r="BD29" s="24"/>
      <c r="BE29" s="24"/>
      <c r="BF29" s="24"/>
      <c r="BG29" s="24"/>
      <c r="BH29" s="16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69" t="s">
        <v>56</v>
      </c>
      <c r="D30" s="120">
        <v>7.6219999999999999</v>
      </c>
      <c r="E30" s="120">
        <f>D30*4</f>
        <v>30.488</v>
      </c>
      <c r="F30" s="120">
        <f>E30*8</f>
        <v>243.904</v>
      </c>
      <c r="G30" s="120"/>
      <c r="H30" s="170"/>
      <c r="I30" s="19"/>
      <c r="J30" s="19"/>
      <c r="K30" s="171"/>
      <c r="L30" s="163">
        <v>2.6789999999999998</v>
      </c>
      <c r="M30" s="15">
        <v>3.133</v>
      </c>
      <c r="N30" s="15">
        <v>2.5000000000000001E-3</v>
      </c>
      <c r="O30" s="15">
        <v>0.23299999999999998</v>
      </c>
      <c r="P30" s="165">
        <f t="shared" si="2"/>
        <v>6.0474999999999994</v>
      </c>
      <c r="Q30" s="163">
        <v>0.24399999999999999</v>
      </c>
      <c r="R30" s="15">
        <v>5.0000000000000001E-3</v>
      </c>
      <c r="S30" s="165">
        <f t="shared" si="3"/>
        <v>0.249</v>
      </c>
      <c r="T30" s="166" t="s">
        <v>31</v>
      </c>
      <c r="U30" s="166" t="s">
        <v>535</v>
      </c>
      <c r="V30" s="15"/>
      <c r="W30" s="176"/>
      <c r="X30" s="176">
        <v>143.35999999999999</v>
      </c>
      <c r="Y30" s="176">
        <v>1.68</v>
      </c>
      <c r="Z30" s="176">
        <v>11.97</v>
      </c>
      <c r="AA30" s="17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76"/>
      <c r="AG30" s="15">
        <v>100.6</v>
      </c>
      <c r="AH30" s="15">
        <v>157.18</v>
      </c>
      <c r="AI30" s="176"/>
      <c r="AJ30" s="15">
        <v>856.94</v>
      </c>
      <c r="AK30" s="15">
        <v>0.85694000000000004</v>
      </c>
      <c r="AL30" s="167"/>
      <c r="AM30" s="127" t="s">
        <v>20</v>
      </c>
      <c r="AN30" s="121" t="str">
        <f>AO30</f>
        <v>D</v>
      </c>
      <c r="AO30" s="121" t="s">
        <v>21</v>
      </c>
      <c r="AP30" s="338">
        <f t="shared" ref="AP30:AR30" si="18">AQ30-2</f>
        <v>45707</v>
      </c>
      <c r="AQ30" s="338">
        <f t="shared" si="18"/>
        <v>45709</v>
      </c>
      <c r="AR30" s="338">
        <f t="shared" si="18"/>
        <v>45711</v>
      </c>
      <c r="AS30" s="507">
        <v>45713</v>
      </c>
      <c r="AT30" s="25" t="s">
        <v>544</v>
      </c>
      <c r="AU30" s="168"/>
      <c r="AV30" s="127" t="s">
        <v>20</v>
      </c>
      <c r="AW30" s="15" t="s">
        <v>543</v>
      </c>
      <c r="AX30" s="268">
        <f>AY30</f>
        <v>45720</v>
      </c>
      <c r="AY30" s="268">
        <v>45720</v>
      </c>
      <c r="AZ30" s="172" t="s">
        <v>538</v>
      </c>
      <c r="BA30" s="173"/>
      <c r="BB30" s="127" t="s">
        <v>20</v>
      </c>
      <c r="BC30" s="121" t="s">
        <v>539</v>
      </c>
      <c r="BD30" s="121" t="s">
        <v>21</v>
      </c>
      <c r="BE30" s="269">
        <f>BF30-2</f>
        <v>45794</v>
      </c>
      <c r="BF30" s="269">
        <v>45796</v>
      </c>
      <c r="BG30" s="17" t="s">
        <v>545</v>
      </c>
      <c r="BH30" s="177"/>
      <c r="BI30" s="127" t="s">
        <v>20</v>
      </c>
      <c r="BJ30" s="121">
        <v>45830</v>
      </c>
      <c r="BK30" s="121">
        <v>45830</v>
      </c>
      <c r="BL30" s="25">
        <v>1545</v>
      </c>
      <c r="BM30" s="175" t="s">
        <v>540</v>
      </c>
    </row>
    <row r="31" spans="1:65" ht="14.25" customHeight="1">
      <c r="A31" s="15" t="s">
        <v>0</v>
      </c>
      <c r="B31" s="19"/>
      <c r="C31" s="169"/>
      <c r="D31" s="120"/>
      <c r="E31" s="120"/>
      <c r="F31" s="120"/>
      <c r="G31" s="120"/>
      <c r="H31" s="170"/>
      <c r="I31" s="19"/>
      <c r="J31" s="19"/>
      <c r="K31" s="171"/>
      <c r="L31" s="163"/>
      <c r="M31" s="15"/>
      <c r="N31" s="15"/>
      <c r="O31" s="15"/>
      <c r="P31" s="165"/>
      <c r="Q31" s="163"/>
      <c r="R31" s="15"/>
      <c r="S31" s="165"/>
      <c r="T31" s="166"/>
      <c r="U31" s="166"/>
      <c r="V31" s="16">
        <v>341.209</v>
      </c>
      <c r="W31" s="15" t="s">
        <v>502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67"/>
      <c r="AM31" s="15"/>
      <c r="AN31" s="24"/>
      <c r="AO31" s="24"/>
      <c r="AP31" s="24"/>
      <c r="AQ31" s="24"/>
      <c r="AR31" s="24"/>
      <c r="AS31" s="25"/>
      <c r="AT31" s="25"/>
      <c r="AU31" s="168"/>
      <c r="AV31" s="24"/>
      <c r="AW31" s="24"/>
      <c r="AX31" s="268"/>
      <c r="AY31" s="268"/>
      <c r="AZ31" s="24"/>
      <c r="BA31" s="168"/>
      <c r="BB31" s="24"/>
      <c r="BC31" s="24"/>
      <c r="BD31" s="24"/>
      <c r="BE31" s="24"/>
      <c r="BF31" s="24"/>
      <c r="BG31" s="24"/>
      <c r="BH31" s="16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69" t="s">
        <v>39</v>
      </c>
      <c r="D32" s="120">
        <v>7.7080000000000002</v>
      </c>
      <c r="E32" s="120">
        <f>D32*4</f>
        <v>30.832000000000001</v>
      </c>
      <c r="F32" s="120">
        <f>E32*8</f>
        <v>246.65600000000001</v>
      </c>
      <c r="G32" s="120"/>
      <c r="H32" s="170"/>
      <c r="I32" s="19"/>
      <c r="J32" s="19"/>
      <c r="K32" s="171"/>
      <c r="L32" s="163">
        <v>4.0570000000000004</v>
      </c>
      <c r="M32" s="15">
        <v>2.48</v>
      </c>
      <c r="N32" s="15">
        <v>6.0000000000000001E-3</v>
      </c>
      <c r="O32" s="15">
        <v>0.36499999999999999</v>
      </c>
      <c r="P32" s="165">
        <f t="shared" si="2"/>
        <v>6.9080000000000013</v>
      </c>
      <c r="Q32" s="163">
        <v>0.436</v>
      </c>
      <c r="R32" s="15">
        <v>0.01</v>
      </c>
      <c r="S32" s="165">
        <f t="shared" si="3"/>
        <v>0.44600000000000001</v>
      </c>
      <c r="T32" s="166" t="s">
        <v>57</v>
      </c>
      <c r="U32" s="166" t="s">
        <v>535</v>
      </c>
      <c r="V32" s="15"/>
      <c r="W32" s="17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67"/>
      <c r="AM32" s="127" t="s">
        <v>20</v>
      </c>
      <c r="AN32" s="121" t="s">
        <v>546</v>
      </c>
      <c r="AO32" s="121" t="s">
        <v>21</v>
      </c>
      <c r="AP32" s="338">
        <v>45679</v>
      </c>
      <c r="AQ32" s="338">
        <f t="shared" ref="AQ32:AR32" si="19">AR32-2</f>
        <v>45684</v>
      </c>
      <c r="AR32" s="338">
        <f t="shared" si="19"/>
        <v>45686</v>
      </c>
      <c r="AS32" s="507">
        <v>45688</v>
      </c>
      <c r="AT32" s="25" t="s">
        <v>538</v>
      </c>
      <c r="AU32" s="173"/>
      <c r="AV32" s="127" t="s">
        <v>20</v>
      </c>
      <c r="AW32" s="15" t="s">
        <v>543</v>
      </c>
      <c r="AX32" s="268">
        <v>45703</v>
      </c>
      <c r="AY32" s="268">
        <v>45703</v>
      </c>
      <c r="AZ32" s="172" t="s">
        <v>538</v>
      </c>
      <c r="BA32" s="173"/>
      <c r="BB32" s="127" t="s">
        <v>20</v>
      </c>
      <c r="BC32" s="121" t="s">
        <v>539</v>
      </c>
      <c r="BD32" s="121" t="s">
        <v>21</v>
      </c>
      <c r="BE32" s="269">
        <f>BF32-1</f>
        <v>45745</v>
      </c>
      <c r="BF32" s="269">
        <v>45746</v>
      </c>
      <c r="BG32" s="15" t="s">
        <v>505</v>
      </c>
      <c r="BH32" s="168"/>
      <c r="BI32" s="127" t="s">
        <v>20</v>
      </c>
      <c r="BJ32" s="121">
        <v>45831</v>
      </c>
      <c r="BK32" s="121">
        <v>45831</v>
      </c>
      <c r="BL32" s="25">
        <v>1001</v>
      </c>
      <c r="BM32" s="24" t="s">
        <v>540</v>
      </c>
    </row>
    <row r="33" spans="1:65" ht="14.25" customHeight="1">
      <c r="A33" s="15" t="s">
        <v>0</v>
      </c>
      <c r="B33" s="19"/>
      <c r="C33" s="169"/>
      <c r="D33" s="120"/>
      <c r="E33" s="120"/>
      <c r="F33" s="120"/>
      <c r="G33" s="120"/>
      <c r="H33" s="170"/>
      <c r="I33" s="19"/>
      <c r="J33" s="19"/>
      <c r="K33" s="171"/>
      <c r="L33" s="163"/>
      <c r="M33" s="15"/>
      <c r="N33" s="15"/>
      <c r="O33" s="15"/>
      <c r="P33" s="165"/>
      <c r="Q33" s="163"/>
      <c r="R33" s="15"/>
      <c r="S33" s="165"/>
      <c r="T33" s="166"/>
      <c r="U33" s="166"/>
      <c r="V33" s="16">
        <v>306.00099999999998</v>
      </c>
      <c r="W33" s="15" t="s">
        <v>502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67"/>
      <c r="AM33" s="15"/>
      <c r="AN33" s="24"/>
      <c r="AO33" s="24"/>
      <c r="AP33" s="24"/>
      <c r="AQ33" s="24"/>
      <c r="AR33" s="24"/>
      <c r="AS33" s="25"/>
      <c r="AT33" s="25"/>
      <c r="AU33" s="168"/>
      <c r="AV33" s="24"/>
      <c r="AW33" s="24"/>
      <c r="AX33" s="268"/>
      <c r="AY33" s="268"/>
      <c r="AZ33" s="24"/>
      <c r="BA33" s="168"/>
      <c r="BB33" s="24"/>
      <c r="BC33" s="24"/>
      <c r="BD33" s="24"/>
      <c r="BE33" s="24"/>
      <c r="BF33" s="24"/>
      <c r="BG33" s="24"/>
      <c r="BH33" s="16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69" t="s">
        <v>42</v>
      </c>
      <c r="D34" s="120">
        <v>6.3620000000000001</v>
      </c>
      <c r="E34" s="120">
        <f>D34*4</f>
        <v>25.448</v>
      </c>
      <c r="F34" s="120">
        <f>E34*8</f>
        <v>203.584</v>
      </c>
      <c r="G34" s="120"/>
      <c r="H34" s="170"/>
      <c r="I34" s="19"/>
      <c r="J34" s="19"/>
      <c r="K34" s="171"/>
      <c r="L34" s="163">
        <v>2.25</v>
      </c>
      <c r="M34" s="15">
        <v>2.1880000000000002</v>
      </c>
      <c r="N34" s="15">
        <v>2E-3</v>
      </c>
      <c r="O34" s="15">
        <v>0.183</v>
      </c>
      <c r="P34" s="165">
        <f t="shared" si="2"/>
        <v>4.6230000000000002</v>
      </c>
      <c r="Q34" s="163">
        <v>0.24399999999999999</v>
      </c>
      <c r="R34" s="15">
        <v>5.0000000000000001E-3</v>
      </c>
      <c r="S34" s="165">
        <f t="shared" si="3"/>
        <v>0.249</v>
      </c>
      <c r="T34" s="166" t="s">
        <v>31</v>
      </c>
      <c r="U34" s="166" t="s">
        <v>535</v>
      </c>
      <c r="V34" s="15"/>
      <c r="W34" s="17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67"/>
      <c r="AM34" s="127" t="s">
        <v>20</v>
      </c>
      <c r="AN34" s="121" t="str">
        <f>AO34</f>
        <v>D</v>
      </c>
      <c r="AO34" s="121" t="s">
        <v>21</v>
      </c>
      <c r="AP34" s="338">
        <f t="shared" ref="AP34:AR34" si="20">AQ34-2</f>
        <v>45704</v>
      </c>
      <c r="AQ34" s="338">
        <f t="shared" si="20"/>
        <v>45706</v>
      </c>
      <c r="AR34" s="338">
        <f t="shared" si="20"/>
        <v>45708</v>
      </c>
      <c r="AS34" s="507">
        <v>45710</v>
      </c>
      <c r="AT34" s="25" t="s">
        <v>544</v>
      </c>
      <c r="AU34" s="168"/>
      <c r="AV34" s="127" t="s">
        <v>20</v>
      </c>
      <c r="AW34" s="15" t="s">
        <v>543</v>
      </c>
      <c r="AX34" s="268">
        <v>45703</v>
      </c>
      <c r="AY34" s="268">
        <v>45703</v>
      </c>
      <c r="AZ34" s="172" t="s">
        <v>538</v>
      </c>
      <c r="BA34" s="173"/>
      <c r="BB34" s="127" t="s">
        <v>20</v>
      </c>
      <c r="BC34" s="121" t="s">
        <v>539</v>
      </c>
      <c r="BD34" s="121" t="s">
        <v>21</v>
      </c>
      <c r="BE34" s="269">
        <f>BF34-1</f>
        <v>45743</v>
      </c>
      <c r="BF34" s="269">
        <v>45744</v>
      </c>
      <c r="BG34" s="15" t="s">
        <v>505</v>
      </c>
      <c r="BH34" s="168"/>
      <c r="BI34" s="127" t="s">
        <v>20</v>
      </c>
      <c r="BJ34" s="121">
        <v>45831</v>
      </c>
      <c r="BK34" s="121">
        <v>45831</v>
      </c>
      <c r="BL34" s="25">
        <v>980</v>
      </c>
      <c r="BM34" s="175" t="s">
        <v>540</v>
      </c>
    </row>
    <row r="35" spans="1:65" ht="14.25" customHeight="1">
      <c r="A35" s="15" t="s">
        <v>0</v>
      </c>
      <c r="B35" s="19"/>
      <c r="C35" s="169"/>
      <c r="D35" s="120"/>
      <c r="E35" s="120"/>
      <c r="F35" s="120"/>
      <c r="G35" s="120"/>
      <c r="H35" s="170"/>
      <c r="I35" s="19"/>
      <c r="J35" s="19"/>
      <c r="K35" s="171"/>
      <c r="L35" s="163"/>
      <c r="M35" s="15"/>
      <c r="N35" s="15"/>
      <c r="O35" s="15"/>
      <c r="P35" s="165"/>
      <c r="Q35" s="163"/>
      <c r="R35" s="15"/>
      <c r="S35" s="165"/>
      <c r="T35" s="166"/>
      <c r="U35" s="166"/>
      <c r="V35" s="16">
        <v>393.92</v>
      </c>
      <c r="W35" s="15" t="s">
        <v>502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67"/>
      <c r="AM35" s="15"/>
      <c r="AN35" s="24"/>
      <c r="AO35" s="24"/>
      <c r="AP35" s="24"/>
      <c r="AQ35" s="24"/>
      <c r="AR35" s="24"/>
      <c r="AS35" s="25"/>
      <c r="AT35" s="25"/>
      <c r="AU35" s="168"/>
      <c r="AV35" s="24"/>
      <c r="AW35" s="24"/>
      <c r="AX35" s="268"/>
      <c r="AY35" s="268"/>
      <c r="AZ35" s="24"/>
      <c r="BA35" s="168"/>
      <c r="BB35" s="24"/>
      <c r="BC35" s="24"/>
      <c r="BD35" s="24"/>
      <c r="BE35" s="24"/>
      <c r="BF35" s="24"/>
      <c r="BG35" s="24"/>
      <c r="BH35" s="16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69" t="s">
        <v>62</v>
      </c>
      <c r="D36" s="120">
        <v>11.987</v>
      </c>
      <c r="E36" s="120">
        <f>D36*4</f>
        <v>47.948</v>
      </c>
      <c r="F36" s="120">
        <f>E36*8</f>
        <v>383.584</v>
      </c>
      <c r="G36" s="120"/>
      <c r="H36" s="170"/>
      <c r="I36" s="19"/>
      <c r="J36" s="19"/>
      <c r="K36" s="171"/>
      <c r="L36" s="16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65">
        <f t="shared" si="2"/>
        <v>11.9879</v>
      </c>
      <c r="Q36" s="163">
        <v>0.55700000000000005</v>
      </c>
      <c r="R36" s="15">
        <v>0.01</v>
      </c>
      <c r="S36" s="165">
        <f t="shared" si="3"/>
        <v>0.56700000000000006</v>
      </c>
      <c r="T36" s="166" t="s">
        <v>60</v>
      </c>
      <c r="U36" s="166" t="s">
        <v>535</v>
      </c>
      <c r="V36" s="15"/>
      <c r="W36" s="17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67"/>
      <c r="AM36" s="127" t="s">
        <v>20</v>
      </c>
      <c r="AN36" s="121" t="s">
        <v>21</v>
      </c>
      <c r="AO36" s="121" t="s">
        <v>21</v>
      </c>
      <c r="AP36" s="338">
        <f t="shared" ref="AP36:AQ36" si="21">AQ36-2</f>
        <v>45731</v>
      </c>
      <c r="AQ36" s="338">
        <f t="shared" si="21"/>
        <v>45733</v>
      </c>
      <c r="AR36" s="338">
        <f>AS36-3</f>
        <v>45735</v>
      </c>
      <c r="AS36" s="507">
        <v>45738</v>
      </c>
      <c r="AT36" s="25" t="s">
        <v>544</v>
      </c>
      <c r="AU36" s="168"/>
      <c r="AV36" s="127" t="s">
        <v>20</v>
      </c>
      <c r="AW36" s="15" t="s">
        <v>6</v>
      </c>
      <c r="AX36" s="268">
        <f>AY36</f>
        <v>45661</v>
      </c>
      <c r="AY36" s="268">
        <v>45661</v>
      </c>
      <c r="AZ36" s="172" t="s">
        <v>538</v>
      </c>
      <c r="BA36" s="173"/>
      <c r="BB36" s="127" t="s">
        <v>20</v>
      </c>
      <c r="BC36" s="121" t="s">
        <v>539</v>
      </c>
      <c r="BD36" s="121" t="s">
        <v>21</v>
      </c>
      <c r="BE36" s="269">
        <f>BF36-2</f>
        <v>45802</v>
      </c>
      <c r="BF36" s="269">
        <v>45804</v>
      </c>
      <c r="BG36" s="17" t="s">
        <v>547</v>
      </c>
      <c r="BH36" s="168"/>
      <c r="BI36" s="127" t="s">
        <v>20</v>
      </c>
      <c r="BJ36" s="121">
        <v>45837</v>
      </c>
      <c r="BK36" s="121">
        <v>45837</v>
      </c>
      <c r="BL36" s="25">
        <v>1750</v>
      </c>
      <c r="BM36" s="175" t="s">
        <v>540</v>
      </c>
    </row>
    <row r="37" spans="1:65" ht="14.25" customHeight="1">
      <c r="A37" s="15" t="s">
        <v>0</v>
      </c>
      <c r="B37" s="19"/>
      <c r="C37" s="169"/>
      <c r="D37" s="120"/>
      <c r="E37" s="120"/>
      <c r="F37" s="120"/>
      <c r="G37" s="120"/>
      <c r="H37" s="170"/>
      <c r="I37" s="19"/>
      <c r="J37" s="19"/>
      <c r="K37" s="171"/>
      <c r="L37" s="163"/>
      <c r="M37" s="15"/>
      <c r="N37" s="15"/>
      <c r="O37" s="15"/>
      <c r="P37" s="165"/>
      <c r="Q37" s="163"/>
      <c r="R37" s="15"/>
      <c r="S37" s="165"/>
      <c r="T37" s="166"/>
      <c r="U37" s="166"/>
      <c r="V37" s="16">
        <v>356.66399999999999</v>
      </c>
      <c r="W37" s="15" t="s">
        <v>536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67"/>
      <c r="AM37" s="15"/>
      <c r="AN37" s="24"/>
      <c r="AO37" s="24"/>
      <c r="AP37" s="24"/>
      <c r="AQ37" s="24"/>
      <c r="AR37" s="24"/>
      <c r="AS37" s="25"/>
      <c r="AT37" s="25"/>
      <c r="AU37" s="168"/>
      <c r="AV37" s="24"/>
      <c r="AW37" s="24"/>
      <c r="AX37" s="268"/>
      <c r="AY37" s="268"/>
      <c r="AZ37" s="24"/>
      <c r="BA37" s="168"/>
      <c r="BB37" s="24"/>
      <c r="BC37" s="24"/>
      <c r="BD37" s="24"/>
      <c r="BE37" s="24"/>
      <c r="BF37" s="24"/>
      <c r="BG37" s="24"/>
      <c r="BH37" s="16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69" t="s">
        <v>65</v>
      </c>
      <c r="D38" s="120">
        <v>9.5440000000000005</v>
      </c>
      <c r="E38" s="120">
        <f>D38*4</f>
        <v>38.176000000000002</v>
      </c>
      <c r="F38" s="120">
        <f>E38*8</f>
        <v>305.40800000000002</v>
      </c>
      <c r="G38" s="120"/>
      <c r="H38" s="170"/>
      <c r="I38" s="19"/>
      <c r="J38" s="19"/>
      <c r="K38" s="171"/>
      <c r="L38" s="163">
        <v>4.9380000000000006</v>
      </c>
      <c r="M38" s="15">
        <v>3.609</v>
      </c>
      <c r="N38" s="15">
        <v>6.3E-3</v>
      </c>
      <c r="O38" s="15">
        <v>0.42399999999999999</v>
      </c>
      <c r="P38" s="165">
        <f t="shared" si="2"/>
        <v>8.9772999999999996</v>
      </c>
      <c r="Q38" s="163">
        <v>0.436</v>
      </c>
      <c r="R38" s="15">
        <v>0.01</v>
      </c>
      <c r="S38" s="165">
        <f t="shared" si="3"/>
        <v>0.44600000000000001</v>
      </c>
      <c r="T38" s="166" t="s">
        <v>63</v>
      </c>
      <c r="U38" s="166" t="s">
        <v>535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67"/>
      <c r="AM38" s="127" t="s">
        <v>20</v>
      </c>
      <c r="AN38" s="121" t="str">
        <f>AO38</f>
        <v>D</v>
      </c>
      <c r="AO38" s="121" t="s">
        <v>21</v>
      </c>
      <c r="AP38" s="338">
        <v>45679</v>
      </c>
      <c r="AQ38" s="338">
        <f>AP38+2</f>
        <v>45681</v>
      </c>
      <c r="AR38" s="338">
        <f>AS38-2</f>
        <v>45688</v>
      </c>
      <c r="AS38" s="507">
        <v>45690</v>
      </c>
      <c r="AT38" s="25" t="s">
        <v>544</v>
      </c>
      <c r="AU38" s="168"/>
      <c r="AV38" s="127" t="s">
        <v>20</v>
      </c>
      <c r="AW38" s="15" t="s">
        <v>543</v>
      </c>
      <c r="AX38" s="268">
        <v>45703</v>
      </c>
      <c r="AY38" s="268">
        <v>45703</v>
      </c>
      <c r="AZ38" s="172" t="s">
        <v>538</v>
      </c>
      <c r="BA38" s="173"/>
      <c r="BB38" s="127" t="s">
        <v>20</v>
      </c>
      <c r="BC38" s="121" t="s">
        <v>542</v>
      </c>
      <c r="BD38" s="121" t="s">
        <v>21</v>
      </c>
      <c r="BE38" s="269">
        <f>BF38-2</f>
        <v>45766</v>
      </c>
      <c r="BF38" s="269">
        <v>45768</v>
      </c>
      <c r="BG38" s="15" t="s">
        <v>505</v>
      </c>
      <c r="BH38" s="178"/>
      <c r="BI38" s="127" t="s">
        <v>20</v>
      </c>
      <c r="BJ38" s="121">
        <v>45831</v>
      </c>
      <c r="BK38" s="121">
        <v>45831</v>
      </c>
      <c r="BL38" s="25">
        <v>1657</v>
      </c>
      <c r="BM38" s="175" t="s">
        <v>540</v>
      </c>
    </row>
    <row r="39" spans="1:65" ht="14.25" customHeight="1">
      <c r="A39" s="15" t="s">
        <v>0</v>
      </c>
      <c r="B39" s="19"/>
      <c r="C39" s="169"/>
      <c r="D39" s="120"/>
      <c r="E39" s="120"/>
      <c r="F39" s="120"/>
      <c r="G39" s="120"/>
      <c r="H39" s="170"/>
      <c r="I39" s="19"/>
      <c r="J39" s="19"/>
      <c r="K39" s="171"/>
      <c r="L39" s="163"/>
      <c r="M39" s="15"/>
      <c r="N39" s="15"/>
      <c r="O39" s="15"/>
      <c r="P39" s="165"/>
      <c r="Q39" s="163"/>
      <c r="R39" s="15"/>
      <c r="S39" s="165"/>
      <c r="T39" s="166"/>
      <c r="U39" s="166"/>
      <c r="V39" s="16">
        <v>174.20500000000001</v>
      </c>
      <c r="W39" s="15" t="s">
        <v>541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67"/>
      <c r="AM39" s="15"/>
      <c r="AN39" s="24"/>
      <c r="AO39" s="24"/>
      <c r="AP39" s="24"/>
      <c r="AQ39" s="24"/>
      <c r="AR39" s="24"/>
      <c r="AS39" s="25"/>
      <c r="AT39" s="25"/>
      <c r="AU39" s="168"/>
      <c r="AV39" s="24"/>
      <c r="AW39" s="24"/>
      <c r="AX39" s="268"/>
      <c r="AY39" s="268"/>
      <c r="AZ39" s="24"/>
      <c r="BA39" s="168"/>
      <c r="BB39" s="24"/>
      <c r="BC39" s="24"/>
      <c r="BD39" s="24"/>
      <c r="BE39" s="24"/>
      <c r="BF39" s="24"/>
      <c r="BG39" s="24"/>
      <c r="BH39" s="16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69" t="s">
        <v>51</v>
      </c>
      <c r="D40" s="120">
        <v>10.82</v>
      </c>
      <c r="E40" s="120">
        <f>D40*4</f>
        <v>43.28</v>
      </c>
      <c r="F40" s="120">
        <f>E40*8</f>
        <v>346.24</v>
      </c>
      <c r="G40" s="120"/>
      <c r="H40" s="170"/>
      <c r="I40" s="19"/>
      <c r="J40" s="19"/>
      <c r="K40" s="171"/>
      <c r="L40" s="163">
        <v>5.4920000000000009</v>
      </c>
      <c r="M40" s="15">
        <v>5.0969999999999995</v>
      </c>
      <c r="N40" s="15">
        <v>7.7999999999999996E-3</v>
      </c>
      <c r="O40" s="15">
        <v>0.502</v>
      </c>
      <c r="P40" s="165">
        <f t="shared" si="2"/>
        <v>11.098800000000001</v>
      </c>
      <c r="Q40" s="163">
        <v>0.55700000000000005</v>
      </c>
      <c r="R40" s="15">
        <v>0.01</v>
      </c>
      <c r="S40" s="165">
        <f t="shared" si="3"/>
        <v>0.56700000000000006</v>
      </c>
      <c r="T40" s="166" t="s">
        <v>66</v>
      </c>
      <c r="U40" s="166" t="s">
        <v>535</v>
      </c>
      <c r="V40" s="15"/>
      <c r="W40" s="17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67"/>
      <c r="AM40" s="127" t="s">
        <v>20</v>
      </c>
      <c r="AN40" s="121" t="str">
        <f>AO40</f>
        <v>D</v>
      </c>
      <c r="AO40" s="121" t="s">
        <v>21</v>
      </c>
      <c r="AP40" s="338">
        <f t="shared" ref="AP40:AR40" si="22">AQ40-2</f>
        <v>45700</v>
      </c>
      <c r="AQ40" s="338">
        <f t="shared" si="22"/>
        <v>45702</v>
      </c>
      <c r="AR40" s="338">
        <f t="shared" si="22"/>
        <v>45704</v>
      </c>
      <c r="AS40" s="507">
        <v>45706</v>
      </c>
      <c r="AT40" s="25" t="s">
        <v>544</v>
      </c>
      <c r="AU40" s="168"/>
      <c r="AV40" s="127" t="s">
        <v>20</v>
      </c>
      <c r="AW40" s="15" t="s">
        <v>543</v>
      </c>
      <c r="AX40" s="268">
        <v>45703</v>
      </c>
      <c r="AY40" s="268">
        <v>45703</v>
      </c>
      <c r="AZ40" s="172" t="s">
        <v>538</v>
      </c>
      <c r="BA40" s="173"/>
      <c r="BB40" s="127" t="s">
        <v>20</v>
      </c>
      <c r="BC40" s="121" t="s">
        <v>542</v>
      </c>
      <c r="BD40" s="121" t="s">
        <v>21</v>
      </c>
      <c r="BE40" s="269">
        <f>BF40-2</f>
        <v>45778</v>
      </c>
      <c r="BF40" s="269">
        <v>45780</v>
      </c>
      <c r="BG40" s="15" t="s">
        <v>505</v>
      </c>
      <c r="BH40" s="168"/>
      <c r="BI40" s="127" t="s">
        <v>20</v>
      </c>
      <c r="BJ40" s="121">
        <v>45802</v>
      </c>
      <c r="BK40" s="121">
        <v>45802</v>
      </c>
      <c r="BL40" s="25">
        <v>1552</v>
      </c>
      <c r="BM40" s="175" t="s">
        <v>540</v>
      </c>
    </row>
    <row r="41" spans="1:65" ht="14.25" customHeight="1">
      <c r="A41" s="15" t="s">
        <v>0</v>
      </c>
      <c r="B41" s="19"/>
      <c r="C41" s="169"/>
      <c r="D41" s="120"/>
      <c r="E41" s="120"/>
      <c r="F41" s="120"/>
      <c r="G41" s="120"/>
      <c r="H41" s="170"/>
      <c r="I41" s="19"/>
      <c r="J41" s="19"/>
      <c r="K41" s="171"/>
      <c r="L41" s="163"/>
      <c r="M41" s="15"/>
      <c r="N41" s="15"/>
      <c r="O41" s="15"/>
      <c r="P41" s="165"/>
      <c r="Q41" s="163"/>
      <c r="R41" s="15"/>
      <c r="S41" s="165"/>
      <c r="T41" s="166"/>
      <c r="U41" s="166"/>
      <c r="V41" s="16">
        <v>229.73</v>
      </c>
      <c r="W41" s="15" t="s">
        <v>541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67"/>
      <c r="AM41" s="15"/>
      <c r="AN41" s="24"/>
      <c r="AO41" s="24"/>
      <c r="AP41" s="24"/>
      <c r="AQ41" s="24"/>
      <c r="AR41" s="24"/>
      <c r="AS41" s="25"/>
      <c r="AT41" s="25"/>
      <c r="AU41" s="168"/>
      <c r="AV41" s="24"/>
      <c r="AW41" s="24"/>
      <c r="AX41" s="268"/>
      <c r="AY41" s="268"/>
      <c r="AZ41" s="24"/>
      <c r="BA41" s="168"/>
      <c r="BB41" s="24"/>
      <c r="BC41" s="24"/>
      <c r="BD41" s="24"/>
      <c r="BE41" s="24"/>
      <c r="BF41" s="24"/>
      <c r="BG41" s="24"/>
      <c r="BH41" s="16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69" t="s">
        <v>70</v>
      </c>
      <c r="D42" s="120">
        <v>10.468</v>
      </c>
      <c r="E42" s="120">
        <f>D42*4</f>
        <v>41.872</v>
      </c>
      <c r="F42" s="120">
        <f>E42*8</f>
        <v>334.976</v>
      </c>
      <c r="G42" s="120"/>
      <c r="H42" s="170"/>
      <c r="I42" s="19"/>
      <c r="J42" s="19"/>
      <c r="K42" s="171"/>
      <c r="L42" s="163">
        <v>4.351</v>
      </c>
      <c r="M42" s="15">
        <v>4.2219999999999995</v>
      </c>
      <c r="N42" s="15">
        <v>5.0000000000000001E-3</v>
      </c>
      <c r="O42" s="15">
        <v>0.32100000000000001</v>
      </c>
      <c r="P42" s="165">
        <f t="shared" si="2"/>
        <v>8.8990000000000009</v>
      </c>
      <c r="Q42" s="163">
        <v>0.36299999999999999</v>
      </c>
      <c r="R42" s="15">
        <v>6.0000000000000001E-3</v>
      </c>
      <c r="S42" s="165">
        <f t="shared" si="3"/>
        <v>0.36899999999999999</v>
      </c>
      <c r="T42" s="166" t="s">
        <v>68</v>
      </c>
      <c r="U42" s="166" t="s">
        <v>535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67"/>
      <c r="AM42" s="127" t="s">
        <v>20</v>
      </c>
      <c r="AN42" s="121" t="str">
        <f>AO42</f>
        <v>D</v>
      </c>
      <c r="AO42" s="121" t="s">
        <v>21</v>
      </c>
      <c r="AP42" s="338">
        <f t="shared" ref="AP42:AQ42" si="23">AQ42-1</f>
        <v>45689</v>
      </c>
      <c r="AQ42" s="338">
        <f t="shared" si="23"/>
        <v>45690</v>
      </c>
      <c r="AR42" s="338">
        <f>AS42-2</f>
        <v>45691</v>
      </c>
      <c r="AS42" s="507">
        <v>45693</v>
      </c>
      <c r="AT42" s="25" t="s">
        <v>544</v>
      </c>
      <c r="AU42" s="168"/>
      <c r="AV42" s="127" t="s">
        <v>20</v>
      </c>
      <c r="AW42" s="15" t="s">
        <v>6</v>
      </c>
      <c r="AX42" s="268">
        <f>AY42</f>
        <v>45661</v>
      </c>
      <c r="AY42" s="268">
        <v>45661</v>
      </c>
      <c r="AZ42" s="172" t="s">
        <v>538</v>
      </c>
      <c r="BA42" s="173"/>
      <c r="BB42" s="127" t="s">
        <v>20</v>
      </c>
      <c r="BC42" s="121" t="s">
        <v>542</v>
      </c>
      <c r="BD42" s="121" t="s">
        <v>21</v>
      </c>
      <c r="BE42" s="269">
        <f>BF42-2</f>
        <v>45805</v>
      </c>
      <c r="BF42" s="269">
        <v>45807</v>
      </c>
      <c r="BG42" s="15" t="s">
        <v>505</v>
      </c>
      <c r="BH42" s="178"/>
      <c r="BI42" s="127" t="s">
        <v>20</v>
      </c>
      <c r="BJ42" s="121">
        <v>45802</v>
      </c>
      <c r="BK42" s="121">
        <v>45802</v>
      </c>
      <c r="BL42" s="25">
        <v>2144</v>
      </c>
      <c r="BM42" s="175" t="s">
        <v>540</v>
      </c>
    </row>
    <row r="43" spans="1:65" ht="14.25" customHeight="1">
      <c r="A43" s="15" t="s">
        <v>0</v>
      </c>
      <c r="B43" s="19"/>
      <c r="C43" s="169"/>
      <c r="D43" s="120"/>
      <c r="E43" s="120"/>
      <c r="F43" s="120"/>
      <c r="G43" s="120"/>
      <c r="H43" s="170"/>
      <c r="I43" s="19"/>
      <c r="J43" s="19"/>
      <c r="K43" s="171"/>
      <c r="L43" s="163"/>
      <c r="M43" s="15"/>
      <c r="N43" s="15"/>
      <c r="O43" s="15"/>
      <c r="P43" s="165"/>
      <c r="Q43" s="163"/>
      <c r="R43" s="15"/>
      <c r="S43" s="165"/>
      <c r="T43" s="166"/>
      <c r="U43" s="166"/>
      <c r="V43" s="16">
        <v>391</v>
      </c>
      <c r="W43" s="15" t="s">
        <v>536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67"/>
      <c r="AM43" s="15"/>
      <c r="AN43" s="24"/>
      <c r="AO43" s="24"/>
      <c r="AP43" s="24"/>
      <c r="AQ43" s="24"/>
      <c r="AR43" s="24"/>
      <c r="AS43" s="25"/>
      <c r="AT43" s="25"/>
      <c r="AU43" s="168"/>
      <c r="AV43" s="24"/>
      <c r="AW43" s="24"/>
      <c r="AX43" s="268"/>
      <c r="AY43" s="268"/>
      <c r="AZ43" s="24"/>
      <c r="BA43" s="168"/>
      <c r="BB43" s="24"/>
      <c r="BC43" s="24"/>
      <c r="BD43" s="24"/>
      <c r="BE43" s="24"/>
      <c r="BF43" s="24"/>
      <c r="BG43" s="24"/>
      <c r="BH43" s="16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69" t="s">
        <v>56</v>
      </c>
      <c r="D44" s="120">
        <v>7.6219999999999999</v>
      </c>
      <c r="E44" s="120">
        <f>D44*4</f>
        <v>30.488</v>
      </c>
      <c r="F44" s="120">
        <f>E44*8</f>
        <v>243.904</v>
      </c>
      <c r="G44" s="120"/>
      <c r="H44" s="170"/>
      <c r="I44" s="19"/>
      <c r="J44" s="19"/>
      <c r="K44" s="171"/>
      <c r="L44" s="163">
        <v>2.6789999999999998</v>
      </c>
      <c r="M44" s="15">
        <v>3.133</v>
      </c>
      <c r="N44" s="15">
        <v>2.5000000000000001E-3</v>
      </c>
      <c r="O44" s="15">
        <v>0.23299999999999998</v>
      </c>
      <c r="P44" s="165">
        <f t="shared" si="2"/>
        <v>6.0474999999999994</v>
      </c>
      <c r="Q44" s="163">
        <v>0.24399999999999999</v>
      </c>
      <c r="R44" s="15">
        <v>5.0000000000000001E-3</v>
      </c>
      <c r="S44" s="165">
        <f t="shared" si="3"/>
        <v>0.249</v>
      </c>
      <c r="T44" s="166" t="s">
        <v>31</v>
      </c>
      <c r="U44" s="166" t="s">
        <v>535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67"/>
      <c r="AM44" s="127" t="s">
        <v>20</v>
      </c>
      <c r="AN44" s="121" t="str">
        <f>AO44</f>
        <v>D</v>
      </c>
      <c r="AO44" s="121" t="s">
        <v>21</v>
      </c>
      <c r="AP44" s="338">
        <f t="shared" ref="AP44:AQ44" si="24">AQ44-1</f>
        <v>45677</v>
      </c>
      <c r="AQ44" s="338">
        <f t="shared" si="24"/>
        <v>45678</v>
      </c>
      <c r="AR44" s="338">
        <f>AS44-2</f>
        <v>45679</v>
      </c>
      <c r="AS44" s="507">
        <v>45681</v>
      </c>
      <c r="AT44" s="25" t="s">
        <v>544</v>
      </c>
      <c r="AU44" s="168"/>
      <c r="AV44" s="127" t="s">
        <v>20</v>
      </c>
      <c r="AW44" s="15" t="s">
        <v>543</v>
      </c>
      <c r="AX44" s="268">
        <v>45703</v>
      </c>
      <c r="AY44" s="268">
        <v>45703</v>
      </c>
      <c r="AZ44" s="172" t="s">
        <v>538</v>
      </c>
      <c r="BA44" s="173"/>
      <c r="BB44" s="127" t="s">
        <v>20</v>
      </c>
      <c r="BC44" s="121" t="s">
        <v>539</v>
      </c>
      <c r="BD44" s="121" t="s">
        <v>21</v>
      </c>
      <c r="BE44" s="269">
        <f>BF44</f>
        <v>45742</v>
      </c>
      <c r="BF44" s="269">
        <v>45742</v>
      </c>
      <c r="BG44" s="15" t="s">
        <v>505</v>
      </c>
      <c r="BH44" s="179"/>
      <c r="BI44" s="127" t="s">
        <v>20</v>
      </c>
      <c r="BJ44" s="121">
        <v>45818</v>
      </c>
      <c r="BK44" s="121">
        <f>BJ44</f>
        <v>45818</v>
      </c>
      <c r="BL44" s="25">
        <v>1545</v>
      </c>
      <c r="BM44" s="175" t="s">
        <v>540</v>
      </c>
    </row>
    <row r="45" spans="1:65" ht="14.25" customHeight="1">
      <c r="A45" s="15" t="s">
        <v>0</v>
      </c>
      <c r="B45" s="19"/>
      <c r="C45" s="169"/>
      <c r="D45" s="120"/>
      <c r="E45" s="120"/>
      <c r="F45" s="120"/>
      <c r="G45" s="120"/>
      <c r="H45" s="170"/>
      <c r="I45" s="19"/>
      <c r="J45" s="19"/>
      <c r="K45" s="171"/>
      <c r="L45" s="163"/>
      <c r="M45" s="15"/>
      <c r="N45" s="15"/>
      <c r="O45" s="15"/>
      <c r="P45" s="165"/>
      <c r="Q45" s="163"/>
      <c r="R45" s="15"/>
      <c r="S45" s="165"/>
      <c r="T45" s="166"/>
      <c r="U45" s="166"/>
      <c r="V45" s="16">
        <v>328</v>
      </c>
      <c r="W45" s="15" t="s">
        <v>541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67"/>
      <c r="AM45" s="15"/>
      <c r="AN45" s="24"/>
      <c r="AO45" s="24"/>
      <c r="AP45" s="24"/>
      <c r="AQ45" s="24"/>
      <c r="AR45" s="24"/>
      <c r="AS45" s="25"/>
      <c r="AT45" s="25"/>
      <c r="AU45" s="168"/>
      <c r="AV45" s="24"/>
      <c r="AW45" s="24"/>
      <c r="AX45" s="268"/>
      <c r="AY45" s="268"/>
      <c r="AZ45" s="24"/>
      <c r="BA45" s="168"/>
      <c r="BB45" s="24"/>
      <c r="BC45" s="24"/>
      <c r="BD45" s="24"/>
      <c r="BE45" s="24"/>
      <c r="BF45" s="24"/>
      <c r="BG45" s="24"/>
      <c r="BH45" s="168"/>
      <c r="BI45" s="24"/>
      <c r="BJ45" s="24"/>
      <c r="BK45" s="12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69" t="s">
        <v>37</v>
      </c>
      <c r="D46" s="120">
        <v>6.992</v>
      </c>
      <c r="E46" s="120">
        <f>D46*4</f>
        <v>27.968</v>
      </c>
      <c r="F46" s="120">
        <f>E46*8</f>
        <v>223.744</v>
      </c>
      <c r="G46" s="120"/>
      <c r="H46" s="170"/>
      <c r="I46" s="19"/>
      <c r="J46" s="19"/>
      <c r="K46" s="171"/>
      <c r="L46" s="163">
        <v>2.6070000000000002</v>
      </c>
      <c r="M46" s="15">
        <v>2.657</v>
      </c>
      <c r="N46" s="15">
        <v>2E-3</v>
      </c>
      <c r="O46" s="15">
        <v>0.21299999999999999</v>
      </c>
      <c r="P46" s="165">
        <f t="shared" si="2"/>
        <v>5.4790000000000001</v>
      </c>
      <c r="Q46" s="163">
        <v>0.24399999999999999</v>
      </c>
      <c r="R46" s="15">
        <v>5.0000000000000001E-3</v>
      </c>
      <c r="S46" s="165">
        <f t="shared" si="3"/>
        <v>0.249</v>
      </c>
      <c r="T46" s="166" t="s">
        <v>31</v>
      </c>
      <c r="U46" s="166" t="s">
        <v>535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67"/>
      <c r="AM46" s="127" t="s">
        <v>20</v>
      </c>
      <c r="AN46" s="121" t="str">
        <f>AO46</f>
        <v>D</v>
      </c>
      <c r="AO46" s="121" t="s">
        <v>21</v>
      </c>
      <c r="AP46" s="338">
        <v>45666</v>
      </c>
      <c r="AQ46" s="338">
        <f>AP46+3</f>
        <v>45669</v>
      </c>
      <c r="AR46" s="338">
        <f>AS46-2</f>
        <v>45673</v>
      </c>
      <c r="AS46" s="507">
        <v>45675</v>
      </c>
      <c r="AT46" s="25" t="s">
        <v>544</v>
      </c>
      <c r="AU46" s="168"/>
      <c r="AV46" s="127" t="s">
        <v>20</v>
      </c>
      <c r="AW46" s="15" t="s">
        <v>543</v>
      </c>
      <c r="AX46" s="268">
        <v>45703</v>
      </c>
      <c r="AY46" s="268">
        <v>45703</v>
      </c>
      <c r="AZ46" s="172" t="s">
        <v>538</v>
      </c>
      <c r="BA46" s="173"/>
      <c r="BB46" s="127" t="s">
        <v>20</v>
      </c>
      <c r="BC46" s="121" t="s">
        <v>539</v>
      </c>
      <c r="BD46" s="121" t="s">
        <v>21</v>
      </c>
      <c r="BE46" s="269">
        <f>BF46-2</f>
        <v>45737</v>
      </c>
      <c r="BF46" s="269">
        <v>45739</v>
      </c>
      <c r="BG46" s="15" t="s">
        <v>505</v>
      </c>
      <c r="BH46" s="179"/>
      <c r="BI46" s="127" t="s">
        <v>20</v>
      </c>
      <c r="BJ46" s="121">
        <f>BJ44</f>
        <v>45818</v>
      </c>
      <c r="BK46" s="121">
        <f>BJ46</f>
        <v>45818</v>
      </c>
      <c r="BL46" s="25">
        <v>1330</v>
      </c>
      <c r="BM46" s="175" t="s">
        <v>540</v>
      </c>
    </row>
    <row r="47" spans="1:65" ht="14.25" customHeight="1">
      <c r="A47" s="15" t="s">
        <v>0</v>
      </c>
      <c r="B47" s="19"/>
      <c r="C47" s="169"/>
      <c r="D47" s="120"/>
      <c r="E47" s="120"/>
      <c r="F47" s="120"/>
      <c r="G47" s="120"/>
      <c r="H47" s="170"/>
      <c r="I47" s="19"/>
      <c r="J47" s="19"/>
      <c r="K47" s="171"/>
      <c r="L47" s="163"/>
      <c r="M47" s="15"/>
      <c r="N47" s="15"/>
      <c r="O47" s="15"/>
      <c r="P47" s="165"/>
      <c r="Q47" s="163"/>
      <c r="R47" s="15"/>
      <c r="S47" s="165"/>
      <c r="T47" s="166"/>
      <c r="U47" s="166"/>
      <c r="V47" s="16">
        <v>333</v>
      </c>
      <c r="W47" s="15" t="s">
        <v>541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67"/>
      <c r="AM47" s="15"/>
      <c r="AN47" s="24"/>
      <c r="AO47" s="24"/>
      <c r="AP47" s="24"/>
      <c r="AQ47" s="24"/>
      <c r="AR47" s="24"/>
      <c r="AS47" s="25"/>
      <c r="AT47" s="25"/>
      <c r="AU47" s="168"/>
      <c r="AV47" s="24"/>
      <c r="AW47" s="24"/>
      <c r="AX47" s="268"/>
      <c r="AY47" s="268"/>
      <c r="AZ47" s="24"/>
      <c r="BA47" s="168"/>
      <c r="BB47" s="24"/>
      <c r="BC47" s="24"/>
      <c r="BD47" s="24"/>
      <c r="BE47" s="24"/>
      <c r="BF47" s="24"/>
      <c r="BG47" s="24"/>
      <c r="BH47" s="168"/>
      <c r="BI47" s="24"/>
      <c r="BJ47" s="24"/>
      <c r="BK47" s="12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69" t="s">
        <v>56</v>
      </c>
      <c r="D48" s="120">
        <v>7.6219999999999999</v>
      </c>
      <c r="E48" s="120">
        <f>D48*4</f>
        <v>30.488</v>
      </c>
      <c r="F48" s="120">
        <f>E48*8</f>
        <v>243.904</v>
      </c>
      <c r="G48" s="120"/>
      <c r="H48" s="170"/>
      <c r="I48" s="19"/>
      <c r="J48" s="19"/>
      <c r="K48" s="171"/>
      <c r="L48" s="163">
        <v>2.6789999999999998</v>
      </c>
      <c r="M48" s="15">
        <v>3.133</v>
      </c>
      <c r="N48" s="15">
        <v>2.5000000000000001E-3</v>
      </c>
      <c r="O48" s="15">
        <v>0.23299999999999998</v>
      </c>
      <c r="P48" s="165">
        <f t="shared" si="2"/>
        <v>6.0474999999999994</v>
      </c>
      <c r="Q48" s="163">
        <v>0.24399999999999999</v>
      </c>
      <c r="R48" s="15">
        <v>5.0000000000000001E-3</v>
      </c>
      <c r="S48" s="165">
        <f t="shared" si="3"/>
        <v>0.249</v>
      </c>
      <c r="T48" s="166" t="s">
        <v>31</v>
      </c>
      <c r="U48" s="166" t="s">
        <v>535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67"/>
      <c r="AM48" s="127" t="s">
        <v>20</v>
      </c>
      <c r="AN48" s="121" t="str">
        <f>AO48</f>
        <v>D</v>
      </c>
      <c r="AO48" s="121" t="s">
        <v>21</v>
      </c>
      <c r="AP48" s="338">
        <v>45666</v>
      </c>
      <c r="AQ48" s="338">
        <f t="shared" ref="AQ48:AR48" si="25">AR48-2</f>
        <v>45667</v>
      </c>
      <c r="AR48" s="338">
        <f t="shared" si="25"/>
        <v>45669</v>
      </c>
      <c r="AS48" s="507">
        <v>45671</v>
      </c>
      <c r="AT48" s="25" t="s">
        <v>544</v>
      </c>
      <c r="AU48" s="168"/>
      <c r="AV48" s="127" t="s">
        <v>20</v>
      </c>
      <c r="AW48" s="15" t="s">
        <v>543</v>
      </c>
      <c r="AX48" s="268">
        <v>45703</v>
      </c>
      <c r="AY48" s="268">
        <v>45703</v>
      </c>
      <c r="AZ48" s="172" t="s">
        <v>538</v>
      </c>
      <c r="BA48" s="173"/>
      <c r="BB48" s="127" t="s">
        <v>20</v>
      </c>
      <c r="BC48" s="121" t="s">
        <v>539</v>
      </c>
      <c r="BD48" s="121" t="s">
        <v>21</v>
      </c>
      <c r="BE48" s="269">
        <f>BF48-2</f>
        <v>45734</v>
      </c>
      <c r="BF48" s="269">
        <v>45736</v>
      </c>
      <c r="BG48" s="15" t="s">
        <v>505</v>
      </c>
      <c r="BH48" s="178"/>
      <c r="BI48" s="127" t="s">
        <v>20</v>
      </c>
      <c r="BJ48" s="121">
        <v>45821</v>
      </c>
      <c r="BK48" s="121">
        <f>BJ48</f>
        <v>45821</v>
      </c>
      <c r="BL48" s="25">
        <v>1545</v>
      </c>
      <c r="BM48" s="175" t="s">
        <v>540</v>
      </c>
    </row>
    <row r="49" spans="1:68" ht="14.25" customHeight="1">
      <c r="A49" s="15" t="s">
        <v>0</v>
      </c>
      <c r="B49" s="19"/>
      <c r="C49" s="169"/>
      <c r="D49" s="120"/>
      <c r="E49" s="120"/>
      <c r="F49" s="120"/>
      <c r="G49" s="120"/>
      <c r="H49" s="170"/>
      <c r="I49" s="19"/>
      <c r="J49" s="19"/>
      <c r="K49" s="171"/>
      <c r="L49" s="163"/>
      <c r="M49" s="15"/>
      <c r="N49" s="15"/>
      <c r="O49" s="15"/>
      <c r="P49" s="165"/>
      <c r="Q49" s="163"/>
      <c r="R49" s="15"/>
      <c r="S49" s="165"/>
      <c r="T49" s="166"/>
      <c r="U49" s="166"/>
      <c r="V49" s="16">
        <v>349.99900000000002</v>
      </c>
      <c r="W49" s="15" t="s">
        <v>541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67"/>
      <c r="AM49" s="15"/>
      <c r="AN49" s="24"/>
      <c r="AO49" s="24"/>
      <c r="AP49" s="24"/>
      <c r="AQ49" s="24"/>
      <c r="AR49" s="24"/>
      <c r="AS49" s="25"/>
      <c r="AT49" s="25"/>
      <c r="AU49" s="168"/>
      <c r="AV49" s="24"/>
      <c r="AW49" s="24"/>
      <c r="AX49" s="268"/>
      <c r="AY49" s="268"/>
      <c r="AZ49" s="24"/>
      <c r="BA49" s="168"/>
      <c r="BB49" s="24"/>
      <c r="BC49" s="24"/>
      <c r="BD49" s="24"/>
      <c r="BE49" s="24"/>
      <c r="BF49" s="24"/>
      <c r="BG49" s="24"/>
      <c r="BH49" s="168"/>
      <c r="BI49" s="24"/>
      <c r="BJ49" s="24"/>
      <c r="BK49" s="12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69" t="s">
        <v>37</v>
      </c>
      <c r="D50" s="120">
        <v>6.992</v>
      </c>
      <c r="E50" s="120">
        <f>D50*4</f>
        <v>27.968</v>
      </c>
      <c r="F50" s="120">
        <f>E50*8</f>
        <v>223.744</v>
      </c>
      <c r="G50" s="120"/>
      <c r="H50" s="170"/>
      <c r="I50" s="19"/>
      <c r="J50" s="19"/>
      <c r="K50" s="171"/>
      <c r="L50" s="163">
        <v>2.6070000000000002</v>
      </c>
      <c r="M50" s="15">
        <v>2.657</v>
      </c>
      <c r="N50" s="15">
        <v>2E-3</v>
      </c>
      <c r="O50" s="15">
        <v>0.21299999999999999</v>
      </c>
      <c r="P50" s="165">
        <f t="shared" si="2"/>
        <v>5.4790000000000001</v>
      </c>
      <c r="Q50" s="163">
        <v>0.24399999999999999</v>
      </c>
      <c r="R50" s="15">
        <v>5.0000000000000001E-3</v>
      </c>
      <c r="S50" s="165">
        <f t="shared" si="3"/>
        <v>0.249</v>
      </c>
      <c r="T50" s="166" t="s">
        <v>31</v>
      </c>
      <c r="U50" s="166" t="s">
        <v>535</v>
      </c>
      <c r="V50" s="15"/>
      <c r="W50" s="18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67"/>
      <c r="AM50" s="127" t="s">
        <v>20</v>
      </c>
      <c r="AN50" s="121" t="str">
        <f>AO50</f>
        <v>D</v>
      </c>
      <c r="AO50" s="121" t="s">
        <v>21</v>
      </c>
      <c r="AP50" s="338">
        <f>AQ50-1</f>
        <v>45660</v>
      </c>
      <c r="AQ50" s="338">
        <f t="shared" ref="AQ50:AR50" si="26">AR50-2</f>
        <v>45661</v>
      </c>
      <c r="AR50" s="338">
        <f t="shared" si="26"/>
        <v>45663</v>
      </c>
      <c r="AS50" s="507">
        <v>45665</v>
      </c>
      <c r="AT50" s="25" t="s">
        <v>538</v>
      </c>
      <c r="AU50" s="173"/>
      <c r="AV50" s="127" t="s">
        <v>20</v>
      </c>
      <c r="AW50" s="15" t="s">
        <v>543</v>
      </c>
      <c r="AX50" s="268">
        <v>45703</v>
      </c>
      <c r="AY50" s="268">
        <v>45703</v>
      </c>
      <c r="AZ50" s="172" t="s">
        <v>538</v>
      </c>
      <c r="BA50" s="173"/>
      <c r="BB50" s="127" t="s">
        <v>20</v>
      </c>
      <c r="BC50" s="121" t="s">
        <v>539</v>
      </c>
      <c r="BD50" s="121" t="s">
        <v>21</v>
      </c>
      <c r="BE50" s="269">
        <f>BF50-2</f>
        <v>45736</v>
      </c>
      <c r="BF50" s="269">
        <v>45738</v>
      </c>
      <c r="BG50" s="15" t="s">
        <v>505</v>
      </c>
      <c r="BH50" s="179"/>
      <c r="BI50" s="127" t="s">
        <v>20</v>
      </c>
      <c r="BJ50" s="121">
        <v>45824</v>
      </c>
      <c r="BK50" s="121">
        <f>BJ50</f>
        <v>45824</v>
      </c>
      <c r="BL50" s="25">
        <v>1330</v>
      </c>
      <c r="BM50" s="175" t="s">
        <v>540</v>
      </c>
      <c r="BN50" s="24"/>
      <c r="BO50" s="24"/>
    </row>
    <row r="51" spans="1:68" ht="14.25" customHeight="1">
      <c r="A51" s="15" t="s">
        <v>0</v>
      </c>
      <c r="B51" s="19"/>
      <c r="C51" s="169"/>
      <c r="D51" s="120"/>
      <c r="E51" s="120"/>
      <c r="F51" s="120"/>
      <c r="G51" s="120"/>
      <c r="H51" s="170"/>
      <c r="I51" s="19"/>
      <c r="J51" s="19"/>
      <c r="K51" s="171"/>
      <c r="L51" s="163"/>
      <c r="M51" s="15"/>
      <c r="N51" s="15"/>
      <c r="O51" s="15"/>
      <c r="P51" s="165"/>
      <c r="Q51" s="163"/>
      <c r="R51" s="15"/>
      <c r="S51" s="165"/>
      <c r="T51" s="166"/>
      <c r="U51" s="166"/>
      <c r="V51" s="16">
        <v>331.00099999999998</v>
      </c>
      <c r="W51" s="15" t="s">
        <v>564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67"/>
      <c r="AM51" s="15"/>
      <c r="AN51" s="24"/>
      <c r="AO51" s="24"/>
      <c r="AP51" s="24"/>
      <c r="AQ51" s="24"/>
      <c r="AR51" s="24"/>
      <c r="AS51" s="25"/>
      <c r="AT51" s="25"/>
      <c r="AU51" s="168"/>
      <c r="AV51" s="24"/>
      <c r="AW51" s="24"/>
      <c r="AX51" s="268"/>
      <c r="AY51" s="268"/>
      <c r="AZ51" s="24"/>
      <c r="BA51" s="168"/>
      <c r="BB51" s="24"/>
      <c r="BC51" s="24"/>
      <c r="BD51" s="24"/>
      <c r="BE51" s="24"/>
      <c r="BF51" s="24"/>
      <c r="BG51" s="24"/>
      <c r="BH51" s="168"/>
      <c r="BI51" s="24"/>
      <c r="BJ51" s="24"/>
      <c r="BK51" s="12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69" t="s">
        <v>76</v>
      </c>
      <c r="D52" s="120">
        <v>7.71</v>
      </c>
      <c r="E52" s="120">
        <f>D52*4</f>
        <v>30.84</v>
      </c>
      <c r="F52" s="120">
        <f>E52*8</f>
        <v>246.72</v>
      </c>
      <c r="G52" s="120"/>
      <c r="H52" s="170"/>
      <c r="I52" s="19"/>
      <c r="J52" s="19"/>
      <c r="K52" s="171"/>
      <c r="L52" s="163">
        <v>3.452</v>
      </c>
      <c r="M52" s="15">
        <v>2.633</v>
      </c>
      <c r="N52" s="15">
        <v>4.0000000000000001E-3</v>
      </c>
      <c r="O52" s="15">
        <v>0.24099999999999999</v>
      </c>
      <c r="P52" s="165">
        <f t="shared" si="2"/>
        <v>6.3299999999999992</v>
      </c>
      <c r="Q52" s="163">
        <v>0.36299999999999999</v>
      </c>
      <c r="R52" s="15">
        <v>6.0000000000000001E-3</v>
      </c>
      <c r="S52" s="165">
        <f t="shared" si="3"/>
        <v>0.36899999999999999</v>
      </c>
      <c r="T52" s="166" t="s">
        <v>31</v>
      </c>
      <c r="U52" s="166" t="s">
        <v>535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67"/>
      <c r="AM52" s="127" t="s">
        <v>20</v>
      </c>
      <c r="AN52" s="121" t="str">
        <f>AO52</f>
        <v>D</v>
      </c>
      <c r="AO52" s="121" t="s">
        <v>21</v>
      </c>
      <c r="AP52" s="338">
        <v>45672</v>
      </c>
      <c r="AQ52" s="338">
        <f>AR52-2</f>
        <v>45673</v>
      </c>
      <c r="AR52" s="338">
        <f>AS52-1</f>
        <v>45675</v>
      </c>
      <c r="AS52" s="507">
        <v>45676</v>
      </c>
      <c r="AT52" s="25" t="s">
        <v>538</v>
      </c>
      <c r="AU52" s="173"/>
      <c r="AV52" s="127" t="s">
        <v>20</v>
      </c>
      <c r="AW52" s="15" t="s">
        <v>6</v>
      </c>
      <c r="AX52" s="268">
        <v>45698</v>
      </c>
      <c r="AY52" s="268">
        <v>45698</v>
      </c>
      <c r="AZ52" s="24" t="s">
        <v>548</v>
      </c>
      <c r="BA52" s="168"/>
      <c r="BB52" s="127" t="s">
        <v>20</v>
      </c>
      <c r="BC52" s="121" t="s">
        <v>549</v>
      </c>
      <c r="BD52" s="121" t="s">
        <v>21</v>
      </c>
      <c r="BE52" s="269">
        <f>BF52-2</f>
        <v>45739</v>
      </c>
      <c r="BF52" s="269">
        <v>45741</v>
      </c>
      <c r="BG52" s="15" t="s">
        <v>505</v>
      </c>
      <c r="BH52" s="179"/>
      <c r="BI52" s="127" t="s">
        <v>20</v>
      </c>
      <c r="BJ52" s="121">
        <v>45828</v>
      </c>
      <c r="BK52" s="121">
        <f>BJ52</f>
        <v>45828</v>
      </c>
      <c r="BL52" s="25">
        <v>1252</v>
      </c>
      <c r="BM52" s="175" t="s">
        <v>540</v>
      </c>
      <c r="BN52" s="24"/>
      <c r="BO52" s="24"/>
    </row>
    <row r="53" spans="1:68" ht="14.25" customHeight="1">
      <c r="A53" s="15" t="s">
        <v>0</v>
      </c>
      <c r="B53" s="19"/>
      <c r="C53" s="169"/>
      <c r="D53" s="120"/>
      <c r="E53" s="120"/>
      <c r="F53" s="120"/>
      <c r="G53" s="120"/>
      <c r="H53" s="170"/>
      <c r="I53" s="19"/>
      <c r="J53" s="19"/>
      <c r="K53" s="171"/>
      <c r="L53" s="163"/>
      <c r="M53" s="15"/>
      <c r="N53" s="15"/>
      <c r="O53" s="15"/>
      <c r="P53" s="165"/>
      <c r="Q53" s="163"/>
      <c r="R53" s="15"/>
      <c r="S53" s="165"/>
      <c r="T53" s="166"/>
      <c r="U53" s="166"/>
      <c r="V53" s="16">
        <v>349</v>
      </c>
      <c r="W53" s="15" t="s">
        <v>499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67"/>
      <c r="AM53" s="15"/>
      <c r="AN53" s="24"/>
      <c r="AO53" s="24"/>
      <c r="AP53" s="24"/>
      <c r="AQ53" s="24"/>
      <c r="AR53" s="24"/>
      <c r="AS53" s="25"/>
      <c r="AT53" s="25"/>
      <c r="AU53" s="168"/>
      <c r="AV53" s="24"/>
      <c r="AW53" s="24"/>
      <c r="AX53" s="268"/>
      <c r="AY53" s="268"/>
      <c r="AZ53" s="24"/>
      <c r="BA53" s="168"/>
      <c r="BB53" s="24"/>
      <c r="BC53" s="24"/>
      <c r="BD53" s="24"/>
      <c r="BE53" s="24"/>
      <c r="BF53" s="24"/>
      <c r="BG53" s="24"/>
      <c r="BH53" s="168"/>
      <c r="BI53" s="24"/>
      <c r="BJ53" s="24"/>
      <c r="BK53" s="12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69" t="s">
        <v>70</v>
      </c>
      <c r="D54" s="120">
        <v>10.468</v>
      </c>
      <c r="E54" s="120">
        <f>D54*4</f>
        <v>41.872</v>
      </c>
      <c r="F54" s="120">
        <f>E54*8</f>
        <v>334.976</v>
      </c>
      <c r="G54" s="120"/>
      <c r="H54" s="170"/>
      <c r="I54" s="19"/>
      <c r="J54" s="19"/>
      <c r="K54" s="171"/>
      <c r="L54" s="163">
        <v>4.351</v>
      </c>
      <c r="M54" s="15">
        <v>4.2219999999999995</v>
      </c>
      <c r="N54" s="15">
        <v>5.0000000000000001E-3</v>
      </c>
      <c r="O54" s="15">
        <v>0.32100000000000001</v>
      </c>
      <c r="P54" s="165">
        <f t="shared" si="2"/>
        <v>8.8990000000000009</v>
      </c>
      <c r="Q54" s="163">
        <v>0.36299999999999999</v>
      </c>
      <c r="R54" s="15">
        <v>6.0000000000000001E-3</v>
      </c>
      <c r="S54" s="165">
        <f t="shared" si="3"/>
        <v>0.36899999999999999</v>
      </c>
      <c r="T54" s="166" t="s">
        <v>31</v>
      </c>
      <c r="U54" s="166" t="s">
        <v>535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67"/>
      <c r="AM54" s="127" t="s">
        <v>20</v>
      </c>
      <c r="AN54" s="121" t="str">
        <f>AO54</f>
        <v>D</v>
      </c>
      <c r="AO54" s="121" t="s">
        <v>21</v>
      </c>
      <c r="AP54" s="338">
        <v>45667</v>
      </c>
      <c r="AQ54" s="338">
        <f>AP54+1</f>
        <v>45668</v>
      </c>
      <c r="AR54" s="338">
        <f>AS54-1</f>
        <v>45670</v>
      </c>
      <c r="AS54" s="507">
        <v>45671</v>
      </c>
      <c r="AT54" s="25" t="s">
        <v>538</v>
      </c>
      <c r="AU54" s="173"/>
      <c r="AV54" s="127" t="s">
        <v>20</v>
      </c>
      <c r="AW54" s="15" t="s">
        <v>6</v>
      </c>
      <c r="AX54" s="268">
        <v>45698</v>
      </c>
      <c r="AY54" s="268">
        <v>45698</v>
      </c>
      <c r="AZ54" s="24" t="s">
        <v>548</v>
      </c>
      <c r="BA54" s="168"/>
      <c r="BB54" s="127" t="s">
        <v>20</v>
      </c>
      <c r="BC54" s="121" t="s">
        <v>550</v>
      </c>
      <c r="BD54" s="121" t="s">
        <v>21</v>
      </c>
      <c r="BE54" s="269">
        <f>BF54-1</f>
        <v>45725</v>
      </c>
      <c r="BF54" s="269">
        <v>45726</v>
      </c>
      <c r="BG54" s="15" t="s">
        <v>505</v>
      </c>
      <c r="BH54" s="167"/>
      <c r="BI54" s="127" t="s">
        <v>20</v>
      </c>
      <c r="BJ54" s="121">
        <v>45840</v>
      </c>
      <c r="BK54" s="121">
        <f>BJ54</f>
        <v>45840</v>
      </c>
      <c r="BL54" s="25">
        <v>2144</v>
      </c>
      <c r="BM54" s="175" t="s">
        <v>540</v>
      </c>
      <c r="BN54" s="181" t="s">
        <v>551</v>
      </c>
      <c r="BO54" s="182"/>
    </row>
    <row r="55" spans="1:68" ht="14.25" customHeight="1">
      <c r="A55" s="15" t="s">
        <v>0</v>
      </c>
      <c r="B55" s="19"/>
      <c r="C55" s="169"/>
      <c r="D55" s="120"/>
      <c r="E55" s="120"/>
      <c r="F55" s="120"/>
      <c r="G55" s="120"/>
      <c r="H55" s="170"/>
      <c r="I55" s="19"/>
      <c r="J55" s="19"/>
      <c r="K55" s="171"/>
      <c r="L55" s="163"/>
      <c r="M55" s="15"/>
      <c r="N55" s="15"/>
      <c r="O55" s="15"/>
      <c r="P55" s="165"/>
      <c r="Q55" s="163"/>
      <c r="R55" s="15"/>
      <c r="S55" s="165"/>
      <c r="T55" s="166"/>
      <c r="U55" s="166"/>
      <c r="V55" s="16">
        <v>360</v>
      </c>
      <c r="W55" s="15" t="s">
        <v>499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67"/>
      <c r="AM55" s="15"/>
      <c r="AN55" s="24"/>
      <c r="AO55" s="24"/>
      <c r="AP55" s="24"/>
      <c r="AQ55" s="24"/>
      <c r="AR55" s="24"/>
      <c r="AS55" s="25"/>
      <c r="AT55" s="25"/>
      <c r="AU55" s="168"/>
      <c r="AV55" s="24"/>
      <c r="AW55" s="24"/>
      <c r="AX55" s="268"/>
      <c r="AY55" s="268"/>
      <c r="AZ55" s="24"/>
      <c r="BA55" s="168"/>
      <c r="BB55" s="24"/>
      <c r="BC55" s="24"/>
      <c r="BD55" s="24"/>
      <c r="BE55" s="24"/>
      <c r="BF55" s="24"/>
      <c r="BG55" s="24"/>
      <c r="BH55" s="16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69" t="s">
        <v>70</v>
      </c>
      <c r="D56" s="120">
        <v>10.468</v>
      </c>
      <c r="E56" s="120">
        <f>D56*4</f>
        <v>41.872</v>
      </c>
      <c r="F56" s="120">
        <f>E56*8</f>
        <v>334.976</v>
      </c>
      <c r="G56" s="120">
        <v>1</v>
      </c>
      <c r="H56" s="170">
        <v>2</v>
      </c>
      <c r="I56" s="19">
        <v>2</v>
      </c>
      <c r="J56" s="19">
        <v>2</v>
      </c>
      <c r="K56" s="171">
        <v>2</v>
      </c>
      <c r="L56" s="163">
        <v>4.351</v>
      </c>
      <c r="M56" s="15">
        <v>4.2219999999999995</v>
      </c>
      <c r="N56" s="15">
        <v>5.0000000000000001E-3</v>
      </c>
      <c r="O56" s="15">
        <v>0.32100000000000001</v>
      </c>
      <c r="P56" s="165">
        <f t="shared" si="2"/>
        <v>8.8990000000000009</v>
      </c>
      <c r="Q56" s="163">
        <v>0.42799999999999999</v>
      </c>
      <c r="R56" s="15">
        <v>1.0999999999999999E-2</v>
      </c>
      <c r="S56" s="165">
        <f t="shared" si="3"/>
        <v>0.439</v>
      </c>
      <c r="T56" s="166" t="s">
        <v>31</v>
      </c>
      <c r="U56" s="166" t="s">
        <v>535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67"/>
      <c r="AM56" s="127" t="s">
        <v>20</v>
      </c>
      <c r="AN56" s="121"/>
      <c r="AO56" s="121"/>
      <c r="AP56" s="338">
        <f>AQ56-4</f>
        <v>45915</v>
      </c>
      <c r="AQ56" s="338">
        <f>AR56-3</f>
        <v>45919</v>
      </c>
      <c r="AR56" s="338">
        <f>AS56-4</f>
        <v>45922</v>
      </c>
      <c r="AS56" s="507">
        <v>45926</v>
      </c>
      <c r="AT56" s="25" t="s">
        <v>552</v>
      </c>
      <c r="AU56" s="168"/>
      <c r="AV56" s="127" t="s">
        <v>20</v>
      </c>
      <c r="AW56" s="15" t="s">
        <v>6</v>
      </c>
      <c r="AX56" s="268"/>
      <c r="AY56" s="268"/>
      <c r="AZ56" s="24"/>
      <c r="BA56" s="168"/>
      <c r="BB56" s="127" t="s">
        <v>20</v>
      </c>
      <c r="BC56" s="121"/>
      <c r="BD56" s="121"/>
      <c r="BE56" s="269">
        <v>46041</v>
      </c>
      <c r="BF56" s="269">
        <v>46045</v>
      </c>
      <c r="BG56" s="15" t="s">
        <v>505</v>
      </c>
      <c r="BH56" s="178"/>
      <c r="BI56" s="127" t="s">
        <v>20</v>
      </c>
      <c r="BJ56" s="24"/>
      <c r="BK56" s="24"/>
      <c r="BL56" s="25">
        <v>2144</v>
      </c>
      <c r="BM56" s="24" t="s">
        <v>707</v>
      </c>
      <c r="BN56" s="181" t="s">
        <v>551</v>
      </c>
      <c r="BO56" s="182"/>
      <c r="BP56" s="130" t="s">
        <v>553</v>
      </c>
    </row>
    <row r="57" spans="1:68" ht="14.25" customHeight="1">
      <c r="A57" s="15" t="s">
        <v>0</v>
      </c>
      <c r="B57" s="19"/>
      <c r="C57" s="169"/>
      <c r="D57" s="120"/>
      <c r="E57" s="120"/>
      <c r="F57" s="120"/>
      <c r="G57" s="120"/>
      <c r="H57" s="170"/>
      <c r="I57" s="19"/>
      <c r="J57" s="19"/>
      <c r="K57" s="171"/>
      <c r="L57" s="163"/>
      <c r="M57" s="15"/>
      <c r="N57" s="15"/>
      <c r="O57" s="15"/>
      <c r="P57" s="165"/>
      <c r="Q57" s="163"/>
      <c r="R57" s="15"/>
      <c r="S57" s="165"/>
      <c r="T57" s="166"/>
      <c r="U57" s="166"/>
      <c r="V57" s="16">
        <v>460</v>
      </c>
      <c r="W57" s="15" t="s">
        <v>499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67"/>
      <c r="AM57" s="15"/>
      <c r="AN57" s="24"/>
      <c r="AO57" s="24"/>
      <c r="AP57" s="24"/>
      <c r="AQ57" s="24"/>
      <c r="AR57" s="24"/>
      <c r="AS57" s="25"/>
      <c r="AT57" s="25"/>
      <c r="AU57" s="168"/>
      <c r="AV57" s="24"/>
      <c r="AW57" s="24"/>
      <c r="AX57" s="268"/>
      <c r="AY57" s="268"/>
      <c r="AZ57" s="24"/>
      <c r="BA57" s="168"/>
      <c r="BB57" s="24"/>
      <c r="BC57" s="24"/>
      <c r="BD57" s="24"/>
      <c r="BE57" s="24"/>
      <c r="BF57" s="24"/>
      <c r="BG57" s="24"/>
      <c r="BH57" s="16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69" t="s">
        <v>70</v>
      </c>
      <c r="D58" s="120">
        <v>10.468</v>
      </c>
      <c r="E58" s="120">
        <f>D58*4</f>
        <v>41.872</v>
      </c>
      <c r="F58" s="120">
        <f>E58*8</f>
        <v>334.976</v>
      </c>
      <c r="G58" s="120"/>
      <c r="H58" s="170"/>
      <c r="I58" s="19"/>
      <c r="J58" s="19"/>
      <c r="K58" s="171"/>
      <c r="L58" s="163">
        <v>4.351</v>
      </c>
      <c r="M58" s="15">
        <v>4.2219999999999995</v>
      </c>
      <c r="N58" s="15">
        <v>5.0000000000000001E-3</v>
      </c>
      <c r="O58" s="15">
        <v>0.32100000000000001</v>
      </c>
      <c r="P58" s="165">
        <f t="shared" si="2"/>
        <v>8.8990000000000009</v>
      </c>
      <c r="Q58" s="163">
        <v>0.36299999999999999</v>
      </c>
      <c r="R58" s="15">
        <v>6.0000000000000001E-3</v>
      </c>
      <c r="S58" s="165">
        <f t="shared" si="3"/>
        <v>0.36899999999999999</v>
      </c>
      <c r="T58" s="166" t="s">
        <v>31</v>
      </c>
      <c r="U58" s="166" t="s">
        <v>535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67"/>
      <c r="AM58" s="127" t="s">
        <v>20</v>
      </c>
      <c r="AN58" s="121"/>
      <c r="AO58" s="121"/>
      <c r="AP58" s="338">
        <f t="shared" ref="AP58:AR58" si="27">AQ58-2</f>
        <v>45897</v>
      </c>
      <c r="AQ58" s="338">
        <f t="shared" si="27"/>
        <v>45899</v>
      </c>
      <c r="AR58" s="338">
        <f t="shared" si="27"/>
        <v>45901</v>
      </c>
      <c r="AS58" s="507">
        <v>45903</v>
      </c>
      <c r="AT58" s="25" t="s">
        <v>548</v>
      </c>
      <c r="AU58" s="173"/>
      <c r="AV58" s="127" t="s">
        <v>20</v>
      </c>
      <c r="AW58" s="15" t="s">
        <v>6</v>
      </c>
      <c r="AX58" s="268">
        <f>AY58</f>
        <v>45905</v>
      </c>
      <c r="AY58" s="268">
        <v>45905</v>
      </c>
      <c r="AZ58" s="24" t="s">
        <v>548</v>
      </c>
      <c r="BA58" s="168"/>
      <c r="BB58" s="127" t="s">
        <v>20</v>
      </c>
      <c r="BC58" s="121"/>
      <c r="BD58" s="121"/>
      <c r="BE58" s="269">
        <v>46013</v>
      </c>
      <c r="BF58" s="269">
        <v>46015</v>
      </c>
      <c r="BG58" s="15" t="s">
        <v>505</v>
      </c>
      <c r="BH58" s="183"/>
      <c r="BI58" s="127" t="s">
        <v>20</v>
      </c>
      <c r="BJ58" s="24"/>
      <c r="BK58" s="24"/>
      <c r="BL58" s="25">
        <v>2144</v>
      </c>
      <c r="BM58" s="24" t="s">
        <v>707</v>
      </c>
      <c r="BN58" s="24"/>
      <c r="BO58" s="24"/>
    </row>
    <row r="59" spans="1:68" ht="14.25" customHeight="1">
      <c r="A59" s="15" t="s">
        <v>0</v>
      </c>
      <c r="B59" s="19"/>
      <c r="C59" s="169"/>
      <c r="D59" s="120"/>
      <c r="E59" s="120"/>
      <c r="F59" s="120"/>
      <c r="G59" s="120"/>
      <c r="H59" s="170"/>
      <c r="I59" s="19"/>
      <c r="J59" s="19"/>
      <c r="K59" s="171"/>
      <c r="L59" s="163"/>
      <c r="M59" s="15"/>
      <c r="N59" s="15"/>
      <c r="O59" s="15"/>
      <c r="P59" s="165"/>
      <c r="Q59" s="163"/>
      <c r="R59" s="15"/>
      <c r="S59" s="165"/>
      <c r="T59" s="166"/>
      <c r="U59" s="166"/>
      <c r="V59" s="16">
        <v>230</v>
      </c>
      <c r="W59" s="15" t="s">
        <v>499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67"/>
      <c r="AM59" s="15"/>
      <c r="AN59" s="24"/>
      <c r="AO59" s="24"/>
      <c r="AP59" s="24"/>
      <c r="AQ59" s="24"/>
      <c r="AR59" s="24"/>
      <c r="AS59" s="25"/>
      <c r="AT59" s="25"/>
      <c r="AU59" s="168"/>
      <c r="AV59" s="24"/>
      <c r="AW59" s="24"/>
      <c r="AX59" s="268"/>
      <c r="AY59" s="268"/>
      <c r="AZ59" s="24"/>
      <c r="BA59" s="168"/>
      <c r="BB59" s="24"/>
      <c r="BC59" s="24"/>
      <c r="BD59" s="24"/>
      <c r="BE59" s="24"/>
      <c r="BF59" s="24"/>
      <c r="BG59" s="24"/>
      <c r="BH59" s="16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69" t="s">
        <v>81</v>
      </c>
      <c r="D60" s="120">
        <v>9.5489999999999995</v>
      </c>
      <c r="E60" s="120">
        <f>D60*4</f>
        <v>38.195999999999998</v>
      </c>
      <c r="F60" s="120">
        <f>E60*8</f>
        <v>305.56799999999998</v>
      </c>
      <c r="G60" s="120"/>
      <c r="H60" s="170"/>
      <c r="I60" s="19"/>
      <c r="J60" s="19"/>
      <c r="K60" s="171"/>
      <c r="L60" s="16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65">
        <f t="shared" si="2"/>
        <v>8.1417000000000002</v>
      </c>
      <c r="Q60" s="163">
        <v>0.36299999999999999</v>
      </c>
      <c r="R60" s="15">
        <v>6.0000000000000001E-3</v>
      </c>
      <c r="S60" s="165">
        <f t="shared" si="3"/>
        <v>0.36899999999999999</v>
      </c>
      <c r="T60" s="166" t="s">
        <v>31</v>
      </c>
      <c r="U60" s="166" t="s">
        <v>535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67"/>
      <c r="AM60" s="127" t="s">
        <v>20</v>
      </c>
      <c r="AN60" s="121" t="s">
        <v>539</v>
      </c>
      <c r="AO60" s="121" t="s">
        <v>21</v>
      </c>
      <c r="AP60" s="338">
        <v>45685</v>
      </c>
      <c r="AQ60" s="338">
        <v>45686</v>
      </c>
      <c r="AR60" s="338">
        <f>AQ60</f>
        <v>45686</v>
      </c>
      <c r="AS60" s="507">
        <v>45687</v>
      </c>
      <c r="AT60" s="25" t="s">
        <v>548</v>
      </c>
      <c r="AU60" s="173"/>
      <c r="AV60" s="127" t="s">
        <v>20</v>
      </c>
      <c r="AW60" s="15" t="s">
        <v>6</v>
      </c>
      <c r="AX60" s="268">
        <v>45698</v>
      </c>
      <c r="AY60" s="268">
        <v>45698</v>
      </c>
      <c r="AZ60" s="24" t="s">
        <v>548</v>
      </c>
      <c r="BA60" s="168"/>
      <c r="BB60" s="127" t="s">
        <v>20</v>
      </c>
      <c r="BC60" s="121" t="s">
        <v>554</v>
      </c>
      <c r="BD60" s="121" t="s">
        <v>21</v>
      </c>
      <c r="BE60" s="269">
        <f>BF60-2</f>
        <v>45731</v>
      </c>
      <c r="BF60" s="269">
        <v>45733</v>
      </c>
      <c r="BG60" s="15" t="s">
        <v>505</v>
      </c>
      <c r="BH60" s="179"/>
      <c r="BI60" s="127" t="s">
        <v>20</v>
      </c>
      <c r="BJ60" s="121">
        <f>BK60</f>
        <v>45846</v>
      </c>
      <c r="BK60" s="121">
        <v>45846</v>
      </c>
      <c r="BL60" s="15">
        <v>1812</v>
      </c>
      <c r="BM60" s="175" t="s">
        <v>540</v>
      </c>
      <c r="BN60" s="24" t="s">
        <v>551</v>
      </c>
      <c r="BO60" s="24"/>
      <c r="BP60" s="130" t="s">
        <v>553</v>
      </c>
    </row>
    <row r="61" spans="1:68" ht="14.25" customHeight="1">
      <c r="A61" s="15" t="s">
        <v>0</v>
      </c>
      <c r="B61" s="19"/>
      <c r="C61" s="169"/>
      <c r="D61" s="120"/>
      <c r="E61" s="120"/>
      <c r="F61" s="120"/>
      <c r="G61" s="120"/>
      <c r="H61" s="170"/>
      <c r="I61" s="19"/>
      <c r="J61" s="19"/>
      <c r="K61" s="171"/>
      <c r="L61" s="163"/>
      <c r="M61" s="15"/>
      <c r="N61" s="15"/>
      <c r="O61" s="15"/>
      <c r="P61" s="165"/>
      <c r="Q61" s="163"/>
      <c r="R61" s="15"/>
      <c r="S61" s="165"/>
      <c r="T61" s="166"/>
      <c r="U61" s="166"/>
      <c r="V61" s="16">
        <v>371.51</v>
      </c>
      <c r="W61" s="15" t="s">
        <v>499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67"/>
      <c r="AM61" s="15"/>
      <c r="AN61" s="24"/>
      <c r="AO61" s="24"/>
      <c r="AP61" s="24"/>
      <c r="AQ61" s="24"/>
      <c r="AR61" s="24"/>
      <c r="AS61" s="25"/>
      <c r="AT61" s="25"/>
      <c r="AU61" s="168"/>
      <c r="AV61" s="24"/>
      <c r="AW61" s="24"/>
      <c r="AX61" s="268"/>
      <c r="AY61" s="268"/>
      <c r="AZ61" s="24"/>
      <c r="BA61" s="168"/>
      <c r="BB61" s="24"/>
      <c r="BC61" s="24"/>
      <c r="BD61" s="24"/>
      <c r="BE61" s="24"/>
      <c r="BF61" s="24"/>
      <c r="BG61" s="24"/>
      <c r="BH61" s="16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69" t="s">
        <v>81</v>
      </c>
      <c r="D62" s="120">
        <v>9.5489999999999995</v>
      </c>
      <c r="E62" s="120">
        <f>D62*4</f>
        <v>38.195999999999998</v>
      </c>
      <c r="F62" s="120">
        <f>E62*8</f>
        <v>305.56799999999998</v>
      </c>
      <c r="G62" s="120"/>
      <c r="H62" s="170"/>
      <c r="I62" s="19"/>
      <c r="J62" s="19"/>
      <c r="K62" s="171"/>
      <c r="L62" s="16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65">
        <f t="shared" si="2"/>
        <v>8.1417000000000002</v>
      </c>
      <c r="Q62" s="163">
        <v>0.36299999999999999</v>
      </c>
      <c r="R62" s="15">
        <v>6.0000000000000001E-3</v>
      </c>
      <c r="S62" s="165">
        <f t="shared" si="3"/>
        <v>0.36899999999999999</v>
      </c>
      <c r="T62" s="166" t="s">
        <v>31</v>
      </c>
      <c r="U62" s="166" t="s">
        <v>535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67"/>
      <c r="AM62" s="127" t="s">
        <v>20</v>
      </c>
      <c r="AN62" s="121"/>
      <c r="AO62" s="121"/>
      <c r="AP62" s="338">
        <v>45688</v>
      </c>
      <c r="AQ62" s="338">
        <f t="shared" ref="AQ62:AR62" si="28">AR62-2</f>
        <v>45692</v>
      </c>
      <c r="AR62" s="338">
        <f t="shared" si="28"/>
        <v>45694</v>
      </c>
      <c r="AS62" s="507">
        <v>45696</v>
      </c>
      <c r="AT62" s="25" t="s">
        <v>548</v>
      </c>
      <c r="AU62" s="173"/>
      <c r="AV62" s="127" t="s">
        <v>20</v>
      </c>
      <c r="AW62" s="15" t="s">
        <v>6</v>
      </c>
      <c r="AX62" s="268">
        <f>AY62</f>
        <v>45721</v>
      </c>
      <c r="AY62" s="268">
        <v>45721</v>
      </c>
      <c r="AZ62" s="24" t="s">
        <v>548</v>
      </c>
      <c r="BA62" s="168"/>
      <c r="BB62" s="127" t="s">
        <v>20</v>
      </c>
      <c r="BC62" s="121" t="s">
        <v>554</v>
      </c>
      <c r="BD62" s="121" t="s">
        <v>21</v>
      </c>
      <c r="BE62" s="269">
        <f>BF62-2</f>
        <v>45727</v>
      </c>
      <c r="BF62" s="269">
        <v>45729</v>
      </c>
      <c r="BG62" s="15" t="s">
        <v>505</v>
      </c>
      <c r="BH62" s="179"/>
      <c r="BI62" s="127" t="s">
        <v>20</v>
      </c>
      <c r="BJ62" s="121">
        <f>BJ60+1</f>
        <v>45847</v>
      </c>
      <c r="BK62" s="121">
        <f>BJ62</f>
        <v>45847</v>
      </c>
      <c r="BL62" s="15">
        <v>1812</v>
      </c>
      <c r="BM62" s="175" t="s">
        <v>540</v>
      </c>
      <c r="BN62" s="24"/>
      <c r="BO62" s="24"/>
    </row>
    <row r="63" spans="1:68" ht="13.5" customHeight="1">
      <c r="A63" s="15" t="s">
        <v>0</v>
      </c>
      <c r="B63" s="19"/>
      <c r="C63" s="169"/>
      <c r="D63" s="120"/>
      <c r="E63" s="120"/>
      <c r="F63" s="120"/>
      <c r="G63" s="120"/>
      <c r="H63" s="170"/>
      <c r="I63" s="19"/>
      <c r="J63" s="19"/>
      <c r="K63" s="171"/>
      <c r="L63" s="163"/>
      <c r="M63" s="15"/>
      <c r="N63" s="15"/>
      <c r="O63" s="15"/>
      <c r="P63" s="165"/>
      <c r="Q63" s="163"/>
      <c r="R63" s="15"/>
      <c r="S63" s="165"/>
      <c r="T63" s="166"/>
      <c r="U63" s="166"/>
      <c r="V63" s="16">
        <v>332.471</v>
      </c>
      <c r="W63" s="15" t="s">
        <v>499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67"/>
      <c r="AM63" s="15"/>
      <c r="AN63" s="24"/>
      <c r="AO63" s="24"/>
      <c r="AP63" s="24"/>
      <c r="AQ63" s="24"/>
      <c r="AR63" s="24"/>
      <c r="AS63" s="25"/>
      <c r="AT63" s="25"/>
      <c r="AU63" s="168"/>
      <c r="AV63" s="24"/>
      <c r="AW63" s="24"/>
      <c r="AX63" s="268"/>
      <c r="AY63" s="268"/>
      <c r="AZ63" s="24"/>
      <c r="BA63" s="168"/>
      <c r="BB63" s="24"/>
      <c r="BC63" s="24"/>
      <c r="BD63" s="24"/>
      <c r="BE63" s="24"/>
      <c r="BF63" s="24"/>
      <c r="BG63" s="24"/>
      <c r="BH63" s="16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69" t="s">
        <v>76</v>
      </c>
      <c r="D64" s="120">
        <v>7.71</v>
      </c>
      <c r="E64" s="120">
        <f>D64*4</f>
        <v>30.84</v>
      </c>
      <c r="F64" s="120">
        <f>E64*8</f>
        <v>246.72</v>
      </c>
      <c r="G64" s="120"/>
      <c r="H64" s="170"/>
      <c r="I64" s="19"/>
      <c r="J64" s="19"/>
      <c r="K64" s="171"/>
      <c r="L64" s="163">
        <v>3.452</v>
      </c>
      <c r="M64" s="15">
        <v>2.633</v>
      </c>
      <c r="N64" s="15">
        <v>4.0000000000000001E-3</v>
      </c>
      <c r="O64" s="15">
        <v>0.24099999999999999</v>
      </c>
      <c r="P64" s="165">
        <f t="shared" si="2"/>
        <v>6.3299999999999992</v>
      </c>
      <c r="Q64" s="163">
        <v>0.36299999999999999</v>
      </c>
      <c r="R64" s="15">
        <v>6.0000000000000001E-3</v>
      </c>
      <c r="S64" s="165">
        <f t="shared" si="3"/>
        <v>0.36899999999999999</v>
      </c>
      <c r="T64" s="166" t="s">
        <v>31</v>
      </c>
      <c r="U64" s="166" t="s">
        <v>535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67"/>
      <c r="AM64" s="127" t="s">
        <v>20</v>
      </c>
      <c r="AN64" s="121" t="str">
        <f>AO64</f>
        <v>D</v>
      </c>
      <c r="AO64" s="121" t="s">
        <v>21</v>
      </c>
      <c r="AP64" s="338">
        <v>45656</v>
      </c>
      <c r="AQ64" s="338">
        <f>AR64-4</f>
        <v>45663</v>
      </c>
      <c r="AR64" s="338">
        <f>AS64-2</f>
        <v>45667</v>
      </c>
      <c r="AS64" s="507">
        <v>45669</v>
      </c>
      <c r="AT64" s="25" t="s">
        <v>548</v>
      </c>
      <c r="AU64" s="168"/>
      <c r="AV64" s="127" t="s">
        <v>20</v>
      </c>
      <c r="AW64" s="15" t="s">
        <v>6</v>
      </c>
      <c r="AX64" s="268">
        <f>AY64</f>
        <v>45721</v>
      </c>
      <c r="AY64" s="268">
        <v>45721</v>
      </c>
      <c r="AZ64" s="24" t="s">
        <v>548</v>
      </c>
      <c r="BA64" s="168"/>
      <c r="BB64" s="127" t="s">
        <v>20</v>
      </c>
      <c r="BC64" s="121" t="s">
        <v>542</v>
      </c>
      <c r="BD64" s="121" t="s">
        <v>21</v>
      </c>
      <c r="BE64" s="269">
        <f>BF64-1</f>
        <v>45727</v>
      </c>
      <c r="BF64" s="269">
        <v>45728</v>
      </c>
      <c r="BG64" s="17" t="s">
        <v>547</v>
      </c>
      <c r="BH64" s="177"/>
      <c r="BI64" s="127" t="s">
        <v>20</v>
      </c>
      <c r="BJ64" s="121">
        <f>BJ62+1</f>
        <v>45848</v>
      </c>
      <c r="BK64" s="121">
        <f>BJ64</f>
        <v>45848</v>
      </c>
      <c r="BL64" s="25">
        <v>1252</v>
      </c>
      <c r="BM64" s="175" t="s">
        <v>540</v>
      </c>
      <c r="BN64" s="24"/>
      <c r="BO64" s="24"/>
    </row>
    <row r="65" spans="1:68" ht="14.25" customHeight="1">
      <c r="A65" s="15" t="s">
        <v>0</v>
      </c>
      <c r="B65" s="19"/>
      <c r="C65" s="169"/>
      <c r="D65" s="120"/>
      <c r="E65" s="120"/>
      <c r="F65" s="120"/>
      <c r="G65" s="120"/>
      <c r="H65" s="170"/>
      <c r="I65" s="19"/>
      <c r="J65" s="19"/>
      <c r="K65" s="171"/>
      <c r="L65" s="163"/>
      <c r="M65" s="15"/>
      <c r="N65" s="15"/>
      <c r="O65" s="15"/>
      <c r="P65" s="165"/>
      <c r="Q65" s="163"/>
      <c r="R65" s="15"/>
      <c r="S65" s="165"/>
      <c r="T65" s="166"/>
      <c r="U65" s="166"/>
      <c r="V65" s="16">
        <v>424.43</v>
      </c>
      <c r="W65" s="15" t="s">
        <v>499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67"/>
      <c r="AM65" s="15"/>
      <c r="AN65" s="24"/>
      <c r="AO65" s="24"/>
      <c r="AP65" s="24"/>
      <c r="AQ65" s="24"/>
      <c r="AR65" s="24"/>
      <c r="AS65" s="25"/>
      <c r="AT65" s="25"/>
      <c r="AU65" s="168"/>
      <c r="AV65" s="24"/>
      <c r="AW65" s="24"/>
      <c r="AX65" s="268"/>
      <c r="AY65" s="268"/>
      <c r="AZ65" s="24"/>
      <c r="BA65" s="168"/>
      <c r="BB65" s="24"/>
      <c r="BC65" s="24"/>
      <c r="BD65" s="24"/>
      <c r="BE65" s="24"/>
      <c r="BF65" s="24"/>
      <c r="BG65" s="24"/>
      <c r="BH65" s="16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69" t="s">
        <v>85</v>
      </c>
      <c r="D66" s="120">
        <v>8.2520000000000007</v>
      </c>
      <c r="E66" s="120">
        <f>D66*4</f>
        <v>33.008000000000003</v>
      </c>
      <c r="F66" s="120">
        <f>E66*8</f>
        <v>264.06400000000002</v>
      </c>
      <c r="G66" s="120">
        <v>1</v>
      </c>
      <c r="H66" s="170">
        <v>3</v>
      </c>
      <c r="I66" s="19">
        <v>3</v>
      </c>
      <c r="J66" s="19">
        <v>3</v>
      </c>
      <c r="K66" s="171">
        <v>3</v>
      </c>
      <c r="L66" s="16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65">
        <f t="shared" si="2"/>
        <v>7.0057</v>
      </c>
      <c r="Q66" s="163">
        <v>0.42799999999999999</v>
      </c>
      <c r="R66" s="15">
        <v>1.0999999999999999E-2</v>
      </c>
      <c r="S66" s="165">
        <f t="shared" si="3"/>
        <v>0.439</v>
      </c>
      <c r="T66" s="166" t="s">
        <v>31</v>
      </c>
      <c r="U66" s="166" t="s">
        <v>535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67"/>
      <c r="AM66" s="127" t="s">
        <v>20</v>
      </c>
      <c r="AN66" s="121" t="s">
        <v>21</v>
      </c>
      <c r="AO66" s="121" t="s">
        <v>21</v>
      </c>
      <c r="AP66" s="338">
        <f t="shared" ref="AP66:AR66" si="29">AQ66-2</f>
        <v>45784</v>
      </c>
      <c r="AQ66" s="338">
        <f t="shared" si="29"/>
        <v>45786</v>
      </c>
      <c r="AR66" s="338">
        <f t="shared" si="29"/>
        <v>45788</v>
      </c>
      <c r="AS66" s="507">
        <v>45790</v>
      </c>
      <c r="AT66" s="25" t="s">
        <v>548</v>
      </c>
      <c r="AU66" s="173"/>
      <c r="AV66" s="127" t="s">
        <v>20</v>
      </c>
      <c r="AW66" s="15" t="s">
        <v>6</v>
      </c>
      <c r="AX66" s="268">
        <f>AY66</f>
        <v>45797</v>
      </c>
      <c r="AY66" s="268">
        <v>45797</v>
      </c>
      <c r="AZ66" s="24" t="s">
        <v>548</v>
      </c>
      <c r="BA66" s="168"/>
      <c r="BB66" s="127" t="s">
        <v>20</v>
      </c>
      <c r="BC66" s="121" t="s">
        <v>555</v>
      </c>
      <c r="BD66" s="121" t="s">
        <v>21</v>
      </c>
      <c r="BE66" s="269">
        <f>BF66</f>
        <v>45812</v>
      </c>
      <c r="BF66" s="269">
        <v>45812</v>
      </c>
      <c r="BG66" s="15" t="s">
        <v>547</v>
      </c>
      <c r="BH66" s="179"/>
      <c r="BI66" s="127" t="s">
        <v>20</v>
      </c>
      <c r="BJ66" s="121">
        <f>BJ64+1</f>
        <v>45849</v>
      </c>
      <c r="BK66" s="121">
        <f>BJ66</f>
        <v>45849</v>
      </c>
      <c r="BL66" s="25">
        <v>1588</v>
      </c>
      <c r="BM66" s="175" t="s">
        <v>540</v>
      </c>
      <c r="BN66" s="24"/>
      <c r="BO66" s="24"/>
    </row>
    <row r="67" spans="1:68" ht="14.25" customHeight="1">
      <c r="A67" s="15" t="s">
        <v>0</v>
      </c>
      <c r="B67" s="19"/>
      <c r="C67" s="169"/>
      <c r="D67" s="120"/>
      <c r="E67" s="120"/>
      <c r="F67" s="120"/>
      <c r="G67" s="120"/>
      <c r="H67" s="170"/>
      <c r="I67" s="19"/>
      <c r="J67" s="19"/>
      <c r="K67" s="171"/>
      <c r="L67" s="163"/>
      <c r="M67" s="15"/>
      <c r="N67" s="15"/>
      <c r="O67" s="15"/>
      <c r="P67" s="165"/>
      <c r="Q67" s="163"/>
      <c r="R67" s="15"/>
      <c r="S67" s="165"/>
      <c r="T67" s="166"/>
      <c r="U67" s="166"/>
      <c r="V67" s="16">
        <v>326.73099999999999</v>
      </c>
      <c r="W67" s="15" t="s">
        <v>499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67"/>
      <c r="AM67" s="15"/>
      <c r="AN67" s="24"/>
      <c r="AO67" s="24"/>
      <c r="AP67" s="24"/>
      <c r="AQ67" s="24"/>
      <c r="AR67" s="24"/>
      <c r="AS67" s="25"/>
      <c r="AT67" s="25"/>
      <c r="AU67" s="168"/>
      <c r="AV67" s="24"/>
      <c r="AW67" s="24"/>
      <c r="AX67" s="268"/>
      <c r="AY67" s="268"/>
      <c r="AZ67" s="24"/>
      <c r="BA67" s="168"/>
      <c r="BB67" s="24"/>
      <c r="BC67" s="24"/>
      <c r="BD67" s="24"/>
      <c r="BE67" s="24"/>
      <c r="BF67" s="24"/>
      <c r="BG67" s="24"/>
      <c r="BH67" s="16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69" t="s">
        <v>56</v>
      </c>
      <c r="D68" s="120">
        <v>7.6219999999999999</v>
      </c>
      <c r="E68" s="120">
        <f>D68*4</f>
        <v>30.488</v>
      </c>
      <c r="F68" s="120">
        <f>E68*8</f>
        <v>243.904</v>
      </c>
      <c r="G68" s="120"/>
      <c r="H68" s="170"/>
      <c r="I68" s="19"/>
      <c r="J68" s="19"/>
      <c r="K68" s="171"/>
      <c r="L68" s="163">
        <v>2.6789999999999998</v>
      </c>
      <c r="M68" s="15">
        <v>3.133</v>
      </c>
      <c r="N68" s="15">
        <v>2.5000000000000001E-3</v>
      </c>
      <c r="O68" s="15">
        <v>0.23299999999999998</v>
      </c>
      <c r="P68" s="165">
        <f t="shared" si="2"/>
        <v>6.0474999999999994</v>
      </c>
      <c r="Q68" s="163">
        <v>0.24399999999999999</v>
      </c>
      <c r="R68" s="15">
        <v>5.0000000000000001E-3</v>
      </c>
      <c r="S68" s="165">
        <f t="shared" si="3"/>
        <v>0.249</v>
      </c>
      <c r="T68" s="166" t="s">
        <v>31</v>
      </c>
      <c r="U68" s="166" t="s">
        <v>535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67"/>
      <c r="AM68" s="127" t="s">
        <v>20</v>
      </c>
      <c r="AN68" s="121" t="str">
        <f>AO68</f>
        <v>D</v>
      </c>
      <c r="AO68" s="121" t="s">
        <v>21</v>
      </c>
      <c r="AP68" s="338">
        <f>AQ68-3</f>
        <v>45639</v>
      </c>
      <c r="AQ68" s="338">
        <f t="shared" ref="AQ68:AR68" si="30">AR68-2</f>
        <v>45642</v>
      </c>
      <c r="AR68" s="338">
        <f t="shared" si="30"/>
        <v>45644</v>
      </c>
      <c r="AS68" s="507">
        <v>45646</v>
      </c>
      <c r="AT68" s="25" t="s">
        <v>548</v>
      </c>
      <c r="AU68" s="168"/>
      <c r="AV68" s="127" t="s">
        <v>20</v>
      </c>
      <c r="AW68" s="15" t="s">
        <v>6</v>
      </c>
      <c r="AX68" s="268">
        <f>AY68</f>
        <v>45708</v>
      </c>
      <c r="AY68" s="268">
        <v>45708</v>
      </c>
      <c r="AZ68" s="24" t="s">
        <v>548</v>
      </c>
      <c r="BA68" s="168"/>
      <c r="BB68" s="127" t="s">
        <v>20</v>
      </c>
      <c r="BC68" s="121" t="s">
        <v>556</v>
      </c>
      <c r="BD68" s="121" t="s">
        <v>21</v>
      </c>
      <c r="BE68" s="269">
        <f>BF68-3</f>
        <v>45729</v>
      </c>
      <c r="BF68" s="269">
        <v>45732</v>
      </c>
      <c r="BG68" s="17" t="s">
        <v>547</v>
      </c>
      <c r="BH68" s="177"/>
      <c r="BI68" s="127" t="s">
        <v>20</v>
      </c>
      <c r="BJ68" s="121">
        <f>BJ66+1</f>
        <v>45850</v>
      </c>
      <c r="BK68" s="121">
        <f>BJ68</f>
        <v>45850</v>
      </c>
      <c r="BL68" s="25">
        <v>1545</v>
      </c>
      <c r="BM68" s="175" t="s">
        <v>540</v>
      </c>
      <c r="BN68" s="15"/>
      <c r="BO68" s="15"/>
    </row>
    <row r="69" spans="1:68" ht="14.25" customHeight="1">
      <c r="A69" s="15" t="s">
        <v>0</v>
      </c>
      <c r="B69" s="19"/>
      <c r="C69" s="169"/>
      <c r="D69" s="120"/>
      <c r="E69" s="120"/>
      <c r="F69" s="120"/>
      <c r="G69" s="120"/>
      <c r="H69" s="170"/>
      <c r="I69" s="19"/>
      <c r="J69" s="19"/>
      <c r="K69" s="171"/>
      <c r="L69" s="163"/>
      <c r="M69" s="15"/>
      <c r="N69" s="15"/>
      <c r="O69" s="15"/>
      <c r="P69" s="165"/>
      <c r="Q69" s="163"/>
      <c r="R69" s="15"/>
      <c r="S69" s="165"/>
      <c r="T69" s="166"/>
      <c r="U69" s="166"/>
      <c r="V69" s="16">
        <v>291.85700000000003</v>
      </c>
      <c r="W69" s="15" t="s">
        <v>499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67"/>
      <c r="AM69" s="15"/>
      <c r="AN69" s="121"/>
      <c r="AO69" s="121"/>
      <c r="AP69" s="121"/>
      <c r="AQ69" s="121"/>
      <c r="AR69" s="121"/>
      <c r="AS69" s="124"/>
      <c r="AT69" s="25"/>
      <c r="AU69" s="168"/>
      <c r="AV69" s="24"/>
      <c r="AW69" s="24"/>
      <c r="AX69" s="268"/>
      <c r="AY69" s="268"/>
      <c r="AZ69" s="24"/>
      <c r="BA69" s="168"/>
      <c r="BB69" s="24"/>
      <c r="BC69" s="121"/>
      <c r="BD69" s="121"/>
      <c r="BE69" s="24"/>
      <c r="BF69" s="24"/>
      <c r="BG69" s="24"/>
      <c r="BH69" s="16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69" t="s">
        <v>42</v>
      </c>
      <c r="D70" s="120">
        <v>6.3620000000000001</v>
      </c>
      <c r="E70" s="120">
        <f>D70*4</f>
        <v>25.448</v>
      </c>
      <c r="F70" s="120">
        <f>E70*8</f>
        <v>203.584</v>
      </c>
      <c r="G70" s="120"/>
      <c r="H70" s="170"/>
      <c r="I70" s="19"/>
      <c r="J70" s="19"/>
      <c r="K70" s="171"/>
      <c r="L70" s="163">
        <v>2.25</v>
      </c>
      <c r="M70" s="15">
        <v>2.1880000000000002</v>
      </c>
      <c r="N70" s="15">
        <v>2E-3</v>
      </c>
      <c r="O70" s="15">
        <v>0.183</v>
      </c>
      <c r="P70" s="165">
        <f t="shared" si="2"/>
        <v>4.6230000000000002</v>
      </c>
      <c r="Q70" s="163">
        <v>0.24399999999999999</v>
      </c>
      <c r="R70" s="15">
        <v>5.0000000000000001E-3</v>
      </c>
      <c r="S70" s="165">
        <f t="shared" si="3"/>
        <v>0.249</v>
      </c>
      <c r="T70" s="166" t="s">
        <v>31</v>
      </c>
      <c r="U70" s="166" t="s">
        <v>535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67"/>
      <c r="AM70" s="127" t="s">
        <v>20</v>
      </c>
      <c r="AN70" s="121" t="str">
        <f>AO70</f>
        <v>D</v>
      </c>
      <c r="AO70" s="121" t="s">
        <v>21</v>
      </c>
      <c r="AP70" s="338">
        <f>AQ70-3</f>
        <v>45638</v>
      </c>
      <c r="AQ70" s="338">
        <f t="shared" ref="AQ70:AR70" si="31">AR70-2</f>
        <v>45641</v>
      </c>
      <c r="AR70" s="338">
        <f t="shared" si="31"/>
        <v>45643</v>
      </c>
      <c r="AS70" s="507">
        <v>45645</v>
      </c>
      <c r="AT70" s="25" t="s">
        <v>548</v>
      </c>
      <c r="AU70" s="168"/>
      <c r="AV70" s="127" t="s">
        <v>20</v>
      </c>
      <c r="AW70" s="15" t="s">
        <v>6</v>
      </c>
      <c r="AX70" s="268">
        <f>AY70</f>
        <v>45677</v>
      </c>
      <c r="AY70" s="268">
        <v>45677</v>
      </c>
      <c r="AZ70" s="24" t="s">
        <v>548</v>
      </c>
      <c r="BA70" s="168"/>
      <c r="BB70" s="127" t="s">
        <v>20</v>
      </c>
      <c r="BC70" s="121" t="s">
        <v>542</v>
      </c>
      <c r="BD70" s="121" t="s">
        <v>21</v>
      </c>
      <c r="BE70" s="269">
        <f>BF70-2</f>
        <v>45732</v>
      </c>
      <c r="BF70" s="269">
        <v>45734</v>
      </c>
      <c r="BG70" s="17" t="s">
        <v>547</v>
      </c>
      <c r="BH70" s="167"/>
      <c r="BI70" s="127" t="s">
        <v>20</v>
      </c>
      <c r="BJ70" s="121">
        <f>BJ68+1</f>
        <v>45851</v>
      </c>
      <c r="BK70" s="121">
        <f>BJ70</f>
        <v>45851</v>
      </c>
      <c r="BL70" s="25">
        <v>980</v>
      </c>
      <c r="BM70" s="175" t="s">
        <v>540</v>
      </c>
      <c r="BN70" s="24"/>
      <c r="BO70" s="24"/>
    </row>
    <row r="71" spans="1:68" ht="14.25" customHeight="1">
      <c r="A71" s="15" t="s">
        <v>0</v>
      </c>
      <c r="B71" s="19"/>
      <c r="C71" s="169"/>
      <c r="D71" s="120"/>
      <c r="E71" s="120"/>
      <c r="F71" s="120"/>
      <c r="G71" s="120"/>
      <c r="H71" s="170"/>
      <c r="I71" s="19"/>
      <c r="J71" s="19"/>
      <c r="K71" s="171"/>
      <c r="L71" s="163"/>
      <c r="M71" s="15"/>
      <c r="N71" s="15"/>
      <c r="O71" s="15"/>
      <c r="P71" s="165"/>
      <c r="Q71" s="163"/>
      <c r="R71" s="15"/>
      <c r="S71" s="165"/>
      <c r="T71" s="166"/>
      <c r="U71" s="166"/>
      <c r="V71" s="16">
        <v>292.00099999999998</v>
      </c>
      <c r="W71" s="15" t="s">
        <v>499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67"/>
      <c r="AM71" s="15"/>
      <c r="AN71" s="24"/>
      <c r="AO71" s="24"/>
      <c r="AP71" s="24"/>
      <c r="AQ71" s="24"/>
      <c r="AR71" s="24"/>
      <c r="AS71" s="25"/>
      <c r="AT71" s="25"/>
      <c r="AU71" s="168"/>
      <c r="AV71" s="24"/>
      <c r="AW71" s="24"/>
      <c r="AX71" s="268"/>
      <c r="AY71" s="268"/>
      <c r="AZ71" s="24"/>
      <c r="BA71" s="168"/>
      <c r="BB71" s="24"/>
      <c r="BC71" s="24"/>
      <c r="BD71" s="24"/>
      <c r="BE71" s="24"/>
      <c r="BF71" s="24"/>
      <c r="BG71" s="24"/>
      <c r="BH71" s="16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69" t="s">
        <v>89</v>
      </c>
      <c r="D72" s="120">
        <v>8.6300000000000008</v>
      </c>
      <c r="E72" s="120">
        <f>D72*4</f>
        <v>34.520000000000003</v>
      </c>
      <c r="F72" s="120">
        <f>E72*8</f>
        <v>276.16000000000003</v>
      </c>
      <c r="G72" s="120"/>
      <c r="H72" s="170"/>
      <c r="I72" s="19"/>
      <c r="J72" s="19"/>
      <c r="K72" s="171"/>
      <c r="L72" s="163">
        <v>3.867</v>
      </c>
      <c r="M72" s="15">
        <v>3.306</v>
      </c>
      <c r="N72" s="15">
        <v>5.0000000000000001E-3</v>
      </c>
      <c r="O72" s="15">
        <v>0.27600000000000002</v>
      </c>
      <c r="P72" s="165">
        <f t="shared" si="2"/>
        <v>7.4539999999999997</v>
      </c>
      <c r="Q72" s="163">
        <v>0.36299999999999999</v>
      </c>
      <c r="R72" s="15">
        <v>6.0000000000000001E-3</v>
      </c>
      <c r="S72" s="165">
        <f t="shared" si="3"/>
        <v>0.36899999999999999</v>
      </c>
      <c r="T72" s="166" t="s">
        <v>31</v>
      </c>
      <c r="U72" s="166" t="s">
        <v>535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67"/>
      <c r="AM72" s="127" t="s">
        <v>20</v>
      </c>
      <c r="AN72" s="121" t="str">
        <f>AO72</f>
        <v>D</v>
      </c>
      <c r="AO72" s="121" t="s">
        <v>21</v>
      </c>
      <c r="AP72" s="338">
        <f>AQ72-3</f>
        <v>45644</v>
      </c>
      <c r="AQ72" s="338">
        <f t="shared" ref="AQ72:AR72" si="32">AR72-2</f>
        <v>45647</v>
      </c>
      <c r="AR72" s="338">
        <f t="shared" si="32"/>
        <v>45649</v>
      </c>
      <c r="AS72" s="507">
        <v>45651</v>
      </c>
      <c r="AT72" s="25" t="s">
        <v>548</v>
      </c>
      <c r="AU72" s="168"/>
      <c r="AV72" s="127" t="s">
        <v>20</v>
      </c>
      <c r="AW72" s="15" t="s">
        <v>6</v>
      </c>
      <c r="AX72" s="268">
        <f>AY72</f>
        <v>45677</v>
      </c>
      <c r="AY72" s="268">
        <v>45677</v>
      </c>
      <c r="AZ72" s="24" t="s">
        <v>548</v>
      </c>
      <c r="BA72" s="168"/>
      <c r="BB72" s="127" t="s">
        <v>20</v>
      </c>
      <c r="BC72" s="121" t="s">
        <v>542</v>
      </c>
      <c r="BD72" s="121" t="s">
        <v>21</v>
      </c>
      <c r="BE72" s="269">
        <f>BF72-2</f>
        <v>45739</v>
      </c>
      <c r="BF72" s="269">
        <v>45741</v>
      </c>
      <c r="BG72" s="17" t="s">
        <v>547</v>
      </c>
      <c r="BH72" s="167"/>
      <c r="BI72" s="127" t="s">
        <v>20</v>
      </c>
      <c r="BJ72" s="121">
        <f>BJ70+1</f>
        <v>45852</v>
      </c>
      <c r="BK72" s="121">
        <f>BJ72</f>
        <v>45852</v>
      </c>
      <c r="BL72" s="25">
        <v>1560</v>
      </c>
      <c r="BM72" s="175" t="s">
        <v>540</v>
      </c>
      <c r="BN72" s="17"/>
      <c r="BO72" s="17"/>
    </row>
    <row r="73" spans="1:68" ht="14.25" customHeight="1">
      <c r="A73" s="15" t="s">
        <v>0</v>
      </c>
      <c r="B73" s="19"/>
      <c r="C73" s="169"/>
      <c r="D73" s="120"/>
      <c r="E73" s="120"/>
      <c r="F73" s="120"/>
      <c r="G73" s="120"/>
      <c r="H73" s="170"/>
      <c r="I73" s="19"/>
      <c r="J73" s="19"/>
      <c r="K73" s="171"/>
      <c r="L73" s="163"/>
      <c r="M73" s="15"/>
      <c r="N73" s="15"/>
      <c r="O73" s="15"/>
      <c r="P73" s="165"/>
      <c r="Q73" s="163"/>
      <c r="R73" s="15"/>
      <c r="S73" s="165"/>
      <c r="T73" s="166"/>
      <c r="U73" s="166"/>
      <c r="V73" s="16">
        <v>415</v>
      </c>
      <c r="W73" s="15" t="s">
        <v>499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67"/>
      <c r="AM73" s="15"/>
      <c r="AN73" s="24"/>
      <c r="AO73" s="24"/>
      <c r="AP73" s="24"/>
      <c r="AQ73" s="24"/>
      <c r="AR73" s="24"/>
      <c r="AS73" s="25"/>
      <c r="AT73" s="25"/>
      <c r="AU73" s="168"/>
      <c r="AV73" s="24"/>
      <c r="AW73" s="24"/>
      <c r="AX73" s="268"/>
      <c r="AY73" s="268"/>
      <c r="AZ73" s="24"/>
      <c r="BA73" s="168"/>
      <c r="BB73" s="24"/>
      <c r="BC73" s="24"/>
      <c r="BD73" s="24"/>
      <c r="BE73" s="24"/>
      <c r="BF73" s="24"/>
      <c r="BG73" s="24"/>
      <c r="BH73" s="16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69" t="s">
        <v>76</v>
      </c>
      <c r="D74" s="120">
        <v>7.71</v>
      </c>
      <c r="E74" s="120">
        <f>D74*4</f>
        <v>30.84</v>
      </c>
      <c r="F74" s="120">
        <f>E74*8</f>
        <v>246.72</v>
      </c>
      <c r="G74" s="120"/>
      <c r="H74" s="170"/>
      <c r="I74" s="19"/>
      <c r="J74" s="19"/>
      <c r="K74" s="171"/>
      <c r="L74" s="163">
        <v>3.452</v>
      </c>
      <c r="M74" s="15">
        <v>2.633</v>
      </c>
      <c r="N74" s="15">
        <v>4.0000000000000001E-3</v>
      </c>
      <c r="O74" s="15">
        <v>0.24099999999999999</v>
      </c>
      <c r="P74" s="165">
        <f t="shared" si="2"/>
        <v>6.3299999999999992</v>
      </c>
      <c r="Q74" s="163">
        <v>0.36299999999999999</v>
      </c>
      <c r="R74" s="15">
        <v>6.0000000000000001E-3</v>
      </c>
      <c r="S74" s="165">
        <f t="shared" si="3"/>
        <v>0.36899999999999999</v>
      </c>
      <c r="T74" s="166" t="s">
        <v>31</v>
      </c>
      <c r="U74" s="166" t="s">
        <v>535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67"/>
      <c r="AM74" s="127" t="s">
        <v>20</v>
      </c>
      <c r="AN74" s="121" t="str">
        <f>AO74</f>
        <v>D</v>
      </c>
      <c r="AO74" s="121" t="s">
        <v>21</v>
      </c>
      <c r="AP74" s="338">
        <v>45677</v>
      </c>
      <c r="AQ74" s="338">
        <f t="shared" ref="AQ74:AR74" si="33">AR74-2</f>
        <v>45696</v>
      </c>
      <c r="AR74" s="338">
        <f t="shared" si="33"/>
        <v>45698</v>
      </c>
      <c r="AS74" s="507">
        <v>45700</v>
      </c>
      <c r="AT74" s="25" t="s">
        <v>537</v>
      </c>
      <c r="AU74" s="168"/>
      <c r="AV74" s="127" t="s">
        <v>20</v>
      </c>
      <c r="AW74" s="15" t="s">
        <v>6</v>
      </c>
      <c r="AX74" s="268">
        <f>AY74</f>
        <v>45708</v>
      </c>
      <c r="AY74" s="268">
        <v>45708</v>
      </c>
      <c r="AZ74" s="24" t="s">
        <v>548</v>
      </c>
      <c r="BA74" s="168"/>
      <c r="BB74" s="127" t="s">
        <v>20</v>
      </c>
      <c r="BC74" s="121" t="s">
        <v>557</v>
      </c>
      <c r="BD74" s="121" t="s">
        <v>21</v>
      </c>
      <c r="BE74" s="269">
        <f>BF74-2</f>
        <v>45737</v>
      </c>
      <c r="BF74" s="269">
        <v>45739</v>
      </c>
      <c r="BG74" s="17" t="s">
        <v>547</v>
      </c>
      <c r="BH74" s="178"/>
      <c r="BI74" s="127" t="s">
        <v>20</v>
      </c>
      <c r="BJ74" s="121">
        <f>BJ72+1</f>
        <v>45853</v>
      </c>
      <c r="BK74" s="121">
        <f>BJ74</f>
        <v>45853</v>
      </c>
      <c r="BL74" s="25">
        <v>1252</v>
      </c>
      <c r="BM74" s="175" t="s">
        <v>540</v>
      </c>
      <c r="BN74" s="24" t="s">
        <v>551</v>
      </c>
      <c r="BO74" s="24"/>
      <c r="BP74" s="130" t="s">
        <v>553</v>
      </c>
    </row>
    <row r="75" spans="1:68" ht="14.25" customHeight="1">
      <c r="A75" s="15" t="s">
        <v>0</v>
      </c>
      <c r="B75" s="19"/>
      <c r="C75" s="169"/>
      <c r="D75" s="120"/>
      <c r="E75" s="120"/>
      <c r="F75" s="120"/>
      <c r="G75" s="120"/>
      <c r="H75" s="170"/>
      <c r="I75" s="19"/>
      <c r="J75" s="19"/>
      <c r="K75" s="171"/>
      <c r="L75" s="163"/>
      <c r="M75" s="15"/>
      <c r="N75" s="15"/>
      <c r="O75" s="15"/>
      <c r="P75" s="165"/>
      <c r="Q75" s="163"/>
      <c r="R75" s="15"/>
      <c r="S75" s="165"/>
      <c r="T75" s="166"/>
      <c r="U75" s="166"/>
      <c r="V75" s="16">
        <v>237</v>
      </c>
      <c r="W75" s="15" t="s">
        <v>499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67"/>
      <c r="AM75" s="15"/>
      <c r="AN75" s="24"/>
      <c r="AO75" s="24"/>
      <c r="AP75" s="24"/>
      <c r="AQ75" s="24"/>
      <c r="AR75" s="24"/>
      <c r="AS75" s="25"/>
      <c r="AT75" s="25"/>
      <c r="AU75" s="168"/>
      <c r="AV75" s="24"/>
      <c r="AW75" s="24"/>
      <c r="AX75" s="268"/>
      <c r="AY75" s="268"/>
      <c r="AZ75" s="24"/>
      <c r="BA75" s="168"/>
      <c r="BB75" s="24"/>
      <c r="BC75" s="24"/>
      <c r="BD75" s="24"/>
      <c r="BE75" s="24"/>
      <c r="BF75" s="24"/>
      <c r="BG75" s="24"/>
      <c r="BH75" s="16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69" t="s">
        <v>76</v>
      </c>
      <c r="D76" s="120">
        <v>7.71</v>
      </c>
      <c r="E76" s="120">
        <f>D76*4</f>
        <v>30.84</v>
      </c>
      <c r="F76" s="120">
        <f>E76*8</f>
        <v>246.72</v>
      </c>
      <c r="G76" s="120"/>
      <c r="H76" s="170"/>
      <c r="I76" s="19"/>
      <c r="J76" s="19"/>
      <c r="K76" s="171"/>
      <c r="L76" s="163">
        <v>3.452</v>
      </c>
      <c r="M76" s="15">
        <v>2.633</v>
      </c>
      <c r="N76" s="15">
        <v>4.0000000000000001E-3</v>
      </c>
      <c r="O76" s="15">
        <v>0.24099999999999999</v>
      </c>
      <c r="P76" s="165">
        <f t="shared" ref="P76:P138" si="34">SUM(L76:O76)</f>
        <v>6.3299999999999992</v>
      </c>
      <c r="Q76" s="163">
        <v>0.36299999999999999</v>
      </c>
      <c r="R76" s="15">
        <v>6.0000000000000001E-3</v>
      </c>
      <c r="S76" s="165">
        <f t="shared" ref="S76:S138" si="35">SUM(Q76:R76)</f>
        <v>0.36899999999999999</v>
      </c>
      <c r="T76" s="166" t="s">
        <v>31</v>
      </c>
      <c r="U76" s="166" t="s">
        <v>535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67"/>
      <c r="AM76" s="127" t="s">
        <v>20</v>
      </c>
      <c r="AN76" s="121" t="str">
        <f>AO76</f>
        <v>D</v>
      </c>
      <c r="AO76" s="121" t="s">
        <v>21</v>
      </c>
      <c r="AP76" s="338">
        <f>AQ76-3</f>
        <v>45697</v>
      </c>
      <c r="AQ76" s="338">
        <f>AR76-2</f>
        <v>45700</v>
      </c>
      <c r="AR76" s="338">
        <f>AS76-1</f>
        <v>45702</v>
      </c>
      <c r="AS76" s="507">
        <v>45703</v>
      </c>
      <c r="AT76" s="25" t="s">
        <v>537</v>
      </c>
      <c r="AU76" s="168"/>
      <c r="AV76" s="127" t="s">
        <v>20</v>
      </c>
      <c r="AW76" s="15" t="s">
        <v>6</v>
      </c>
      <c r="AX76" s="268">
        <f>AY76</f>
        <v>45708</v>
      </c>
      <c r="AY76" s="268">
        <v>45708</v>
      </c>
      <c r="AZ76" s="24" t="s">
        <v>548</v>
      </c>
      <c r="BA76" s="168"/>
      <c r="BB76" s="127" t="s">
        <v>20</v>
      </c>
      <c r="BC76" s="121" t="s">
        <v>542</v>
      </c>
      <c r="BD76" s="121" t="s">
        <v>21</v>
      </c>
      <c r="BE76" s="269">
        <f>BF76-1</f>
        <v>45735</v>
      </c>
      <c r="BF76" s="269">
        <v>45736</v>
      </c>
      <c r="BG76" s="17" t="s">
        <v>547</v>
      </c>
      <c r="BH76" s="178"/>
      <c r="BI76" s="127" t="s">
        <v>20</v>
      </c>
      <c r="BJ76" s="121">
        <f>BJ74+1</f>
        <v>45854</v>
      </c>
      <c r="BK76" s="121">
        <f>BJ76</f>
        <v>45854</v>
      </c>
      <c r="BL76" s="25">
        <v>1252</v>
      </c>
      <c r="BM76" s="175" t="s">
        <v>540</v>
      </c>
      <c r="BN76" s="24" t="s">
        <v>551</v>
      </c>
      <c r="BO76" s="24"/>
      <c r="BP76" s="130" t="s">
        <v>553</v>
      </c>
    </row>
    <row r="77" spans="1:68" ht="14.25" customHeight="1">
      <c r="A77" s="15" t="s">
        <v>0</v>
      </c>
      <c r="B77" s="19"/>
      <c r="C77" s="169"/>
      <c r="D77" s="120"/>
      <c r="E77" s="120"/>
      <c r="F77" s="120"/>
      <c r="G77" s="120"/>
      <c r="H77" s="170"/>
      <c r="I77" s="19"/>
      <c r="J77" s="19"/>
      <c r="K77" s="171"/>
      <c r="L77" s="163"/>
      <c r="M77" s="15"/>
      <c r="N77" s="15"/>
      <c r="O77" s="15"/>
      <c r="P77" s="165"/>
      <c r="Q77" s="163"/>
      <c r="R77" s="15"/>
      <c r="S77" s="165"/>
      <c r="T77" s="166"/>
      <c r="U77" s="166"/>
      <c r="V77" s="16">
        <v>188.45400000000001</v>
      </c>
      <c r="W77" s="15" t="s">
        <v>499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67"/>
      <c r="AM77" s="15"/>
      <c r="AN77" s="24"/>
      <c r="AO77" s="24"/>
      <c r="AP77" s="24"/>
      <c r="AQ77" s="24"/>
      <c r="AR77" s="24"/>
      <c r="AS77" s="25"/>
      <c r="AT77" s="25"/>
      <c r="AU77" s="168"/>
      <c r="AV77" s="24"/>
      <c r="AW77" s="24"/>
      <c r="AX77" s="268"/>
      <c r="AY77" s="268"/>
      <c r="AZ77" s="24"/>
      <c r="BA77" s="168"/>
      <c r="BB77" s="24"/>
      <c r="BC77" s="24"/>
      <c r="BD77" s="24"/>
      <c r="BE77" s="24"/>
      <c r="BF77" s="24"/>
      <c r="BG77" s="24"/>
      <c r="BH77" s="16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69" t="s">
        <v>81</v>
      </c>
      <c r="D78" s="120">
        <v>9.5489999999999995</v>
      </c>
      <c r="E78" s="120">
        <f>D78*4</f>
        <v>38.195999999999998</v>
      </c>
      <c r="F78" s="120">
        <f>E78*8</f>
        <v>305.56799999999998</v>
      </c>
      <c r="G78" s="120">
        <v>1</v>
      </c>
      <c r="H78" s="170"/>
      <c r="I78" s="19"/>
      <c r="J78" s="15">
        <v>4</v>
      </c>
      <c r="K78" s="164">
        <v>2</v>
      </c>
      <c r="L78" s="16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65">
        <f t="shared" si="34"/>
        <v>8.1417000000000002</v>
      </c>
      <c r="Q78" s="163">
        <v>0.36299999999999999</v>
      </c>
      <c r="R78" s="15">
        <v>6.0000000000000001E-3</v>
      </c>
      <c r="S78" s="165">
        <f t="shared" si="35"/>
        <v>0.36899999999999999</v>
      </c>
      <c r="T78" s="166" t="s">
        <v>299</v>
      </c>
      <c r="U78" s="166" t="s">
        <v>535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67"/>
      <c r="AM78" s="127" t="s">
        <v>20</v>
      </c>
      <c r="AN78" s="121" t="s">
        <v>539</v>
      </c>
      <c r="AO78" s="121" t="s">
        <v>21</v>
      </c>
      <c r="AP78" s="338">
        <f t="shared" ref="AP78:AR78" si="37">AQ78-2</f>
        <v>45738</v>
      </c>
      <c r="AQ78" s="338">
        <f t="shared" si="37"/>
        <v>45740</v>
      </c>
      <c r="AR78" s="338">
        <f t="shared" si="37"/>
        <v>45742</v>
      </c>
      <c r="AS78" s="507">
        <v>45744</v>
      </c>
      <c r="AT78" s="25" t="s">
        <v>548</v>
      </c>
      <c r="AU78" s="168"/>
      <c r="AV78" s="127" t="s">
        <v>20</v>
      </c>
      <c r="AW78" s="15" t="s">
        <v>6</v>
      </c>
      <c r="AX78" s="268">
        <f>AY78</f>
        <v>45661</v>
      </c>
      <c r="AY78" s="268">
        <v>45661</v>
      </c>
      <c r="AZ78" s="172" t="s">
        <v>538</v>
      </c>
      <c r="BA78" s="173"/>
      <c r="BB78" s="127" t="s">
        <v>20</v>
      </c>
      <c r="BC78" s="121" t="s">
        <v>558</v>
      </c>
      <c r="BD78" s="121" t="s">
        <v>559</v>
      </c>
      <c r="BE78" s="269">
        <v>45852</v>
      </c>
      <c r="BF78" s="269">
        <v>45854</v>
      </c>
      <c r="BG78" s="17" t="s">
        <v>547</v>
      </c>
      <c r="BH78" s="178"/>
      <c r="BI78" s="127" t="s">
        <v>20</v>
      </c>
      <c r="BJ78" s="121">
        <v>45895</v>
      </c>
      <c r="BK78" s="121">
        <v>45895</v>
      </c>
      <c r="BL78" s="15">
        <v>1812</v>
      </c>
      <c r="BM78" s="24" t="s">
        <v>540</v>
      </c>
      <c r="BN78" s="182" t="s">
        <v>551</v>
      </c>
      <c r="BO78" s="182"/>
      <c r="BP78" s="130" t="s">
        <v>553</v>
      </c>
    </row>
    <row r="79" spans="1:68" ht="14.25" customHeight="1">
      <c r="A79" s="15" t="s">
        <v>0</v>
      </c>
      <c r="B79" s="19"/>
      <c r="C79" s="169"/>
      <c r="D79" s="120"/>
      <c r="E79" s="120"/>
      <c r="F79" s="120"/>
      <c r="G79" s="120"/>
      <c r="H79" s="170"/>
      <c r="I79" s="19"/>
      <c r="J79" s="19"/>
      <c r="K79" s="171"/>
      <c r="L79" s="163"/>
      <c r="M79" s="15"/>
      <c r="N79" s="15"/>
      <c r="O79" s="15"/>
      <c r="P79" s="165"/>
      <c r="Q79" s="163"/>
      <c r="R79" s="15"/>
      <c r="S79" s="165"/>
      <c r="T79" s="166"/>
      <c r="U79" s="166"/>
      <c r="V79" s="16">
        <v>383</v>
      </c>
      <c r="W79" s="15" t="s">
        <v>499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67"/>
      <c r="AM79" s="15"/>
      <c r="AN79" s="24"/>
      <c r="AO79" s="24"/>
      <c r="AP79" s="24"/>
      <c r="AQ79" s="24"/>
      <c r="AR79" s="24"/>
      <c r="AS79" s="25"/>
      <c r="AT79" s="25"/>
      <c r="AU79" s="168"/>
      <c r="AV79" s="24"/>
      <c r="AW79" s="24"/>
      <c r="AX79" s="268"/>
      <c r="AY79" s="268"/>
      <c r="AZ79" s="24"/>
      <c r="BA79" s="168"/>
      <c r="BB79" s="24"/>
      <c r="BC79" s="24"/>
      <c r="BD79" s="24"/>
      <c r="BE79" s="24"/>
      <c r="BF79" s="24"/>
      <c r="BG79" s="24"/>
      <c r="BH79" s="16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69" t="s">
        <v>89</v>
      </c>
      <c r="D80" s="120">
        <v>8.6300000000000008</v>
      </c>
      <c r="E80" s="120">
        <f>D80*4</f>
        <v>34.520000000000003</v>
      </c>
      <c r="F80" s="120">
        <f>E80*8</f>
        <v>276.16000000000003</v>
      </c>
      <c r="G80" s="120"/>
      <c r="H80" s="170"/>
      <c r="I80" s="19"/>
      <c r="J80" s="19"/>
      <c r="K80" s="171"/>
      <c r="L80" s="163">
        <v>3.867</v>
      </c>
      <c r="M80" s="15">
        <v>3.306</v>
      </c>
      <c r="N80" s="15">
        <v>5.0000000000000001E-3</v>
      </c>
      <c r="O80" s="15">
        <v>0.27600000000000002</v>
      </c>
      <c r="P80" s="165">
        <f t="shared" si="34"/>
        <v>7.4539999999999997</v>
      </c>
      <c r="Q80" s="163">
        <v>0.36299999999999999</v>
      </c>
      <c r="R80" s="15">
        <v>6.0000000000000001E-3</v>
      </c>
      <c r="S80" s="165">
        <f t="shared" si="35"/>
        <v>0.36899999999999999</v>
      </c>
      <c r="T80" s="166" t="s">
        <v>31</v>
      </c>
      <c r="U80" s="166" t="s">
        <v>535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67"/>
      <c r="AM80" s="127" t="s">
        <v>20</v>
      </c>
      <c r="AN80" s="121" t="s">
        <v>539</v>
      </c>
      <c r="AO80" s="121" t="s">
        <v>21</v>
      </c>
      <c r="AP80" s="338">
        <v>46022</v>
      </c>
      <c r="AQ80" s="338">
        <f>AR80-1</f>
        <v>45658</v>
      </c>
      <c r="AR80" s="338">
        <f>AS80-3</f>
        <v>45659</v>
      </c>
      <c r="AS80" s="507">
        <v>45662</v>
      </c>
      <c r="AT80" s="25" t="s">
        <v>548</v>
      </c>
      <c r="AU80" s="168"/>
      <c r="AV80" s="127" t="s">
        <v>20</v>
      </c>
      <c r="AW80" s="15" t="s">
        <v>6</v>
      </c>
      <c r="AX80" s="268">
        <v>45644</v>
      </c>
      <c r="AY80" s="268">
        <v>45644</v>
      </c>
      <c r="AZ80" s="24" t="s">
        <v>560</v>
      </c>
      <c r="BA80" s="168"/>
      <c r="BB80" s="127" t="s">
        <v>20</v>
      </c>
      <c r="BC80" s="121" t="s">
        <v>554</v>
      </c>
      <c r="BD80" s="121" t="s">
        <v>21</v>
      </c>
      <c r="BE80" s="269">
        <f>BF80-1</f>
        <v>45759</v>
      </c>
      <c r="BF80" s="269">
        <v>45760</v>
      </c>
      <c r="BG80" s="17" t="s">
        <v>547</v>
      </c>
      <c r="BH80" s="168"/>
      <c r="BI80" s="127" t="s">
        <v>20</v>
      </c>
      <c r="BJ80" s="121">
        <v>45895</v>
      </c>
      <c r="BK80" s="121">
        <v>45895</v>
      </c>
      <c r="BL80" s="25">
        <v>1560</v>
      </c>
      <c r="BM80" s="24" t="s">
        <v>540</v>
      </c>
      <c r="BN80" s="24"/>
      <c r="BO80" s="24"/>
    </row>
    <row r="81" spans="1:68" ht="14.25" customHeight="1">
      <c r="A81" s="15" t="s">
        <v>0</v>
      </c>
      <c r="B81" s="19"/>
      <c r="C81" s="169"/>
      <c r="D81" s="120"/>
      <c r="E81" s="120"/>
      <c r="F81" s="120"/>
      <c r="G81" s="120"/>
      <c r="H81" s="170"/>
      <c r="I81" s="19"/>
      <c r="J81" s="19"/>
      <c r="K81" s="171"/>
      <c r="L81" s="163"/>
      <c r="M81" s="15"/>
      <c r="N81" s="15"/>
      <c r="O81" s="15"/>
      <c r="P81" s="165"/>
      <c r="Q81" s="163"/>
      <c r="R81" s="15"/>
      <c r="S81" s="165"/>
      <c r="T81" s="166"/>
      <c r="U81" s="166"/>
      <c r="V81" s="16">
        <v>311</v>
      </c>
      <c r="W81" s="15" t="s">
        <v>499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67"/>
      <c r="AM81" s="15"/>
      <c r="AN81" s="24"/>
      <c r="AO81" s="24"/>
      <c r="AP81" s="24"/>
      <c r="AQ81" s="24"/>
      <c r="AR81" s="24"/>
      <c r="AS81" s="25"/>
      <c r="AT81" s="25"/>
      <c r="AU81" s="168"/>
      <c r="AV81" s="24"/>
      <c r="AW81" s="24"/>
      <c r="AX81" s="268"/>
      <c r="AY81" s="268"/>
      <c r="AZ81" s="24"/>
      <c r="BA81" s="168"/>
      <c r="BB81" s="24"/>
      <c r="BC81" s="24"/>
      <c r="BD81" s="24"/>
      <c r="BE81" s="24"/>
      <c r="BF81" s="24"/>
      <c r="BG81" s="24"/>
      <c r="BH81" s="16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69" t="s">
        <v>56</v>
      </c>
      <c r="D82" s="120">
        <v>7.6219999999999999</v>
      </c>
      <c r="E82" s="120">
        <f>D82*4</f>
        <v>30.488</v>
      </c>
      <c r="F82" s="120">
        <f>E82*8</f>
        <v>243.904</v>
      </c>
      <c r="G82" s="120"/>
      <c r="H82" s="170"/>
      <c r="I82" s="19"/>
      <c r="J82" s="19"/>
      <c r="K82" s="171"/>
      <c r="L82" s="163">
        <v>2.6789999999999998</v>
      </c>
      <c r="M82" s="15">
        <v>3.133</v>
      </c>
      <c r="N82" s="15">
        <v>2.5000000000000001E-3</v>
      </c>
      <c r="O82" s="15">
        <v>0.23299999999999998</v>
      </c>
      <c r="P82" s="165">
        <f t="shared" si="34"/>
        <v>6.0474999999999994</v>
      </c>
      <c r="Q82" s="163">
        <v>0.24399999999999999</v>
      </c>
      <c r="R82" s="15">
        <v>5.0000000000000001E-3</v>
      </c>
      <c r="S82" s="165">
        <f t="shared" si="35"/>
        <v>0.249</v>
      </c>
      <c r="T82" s="166" t="s">
        <v>31</v>
      </c>
      <c r="U82" s="166" t="s">
        <v>535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67"/>
      <c r="AM82" s="127" t="s">
        <v>20</v>
      </c>
      <c r="AN82" s="121" t="str">
        <f>AO82</f>
        <v>D</v>
      </c>
      <c r="AO82" s="121" t="s">
        <v>21</v>
      </c>
      <c r="AP82" s="338">
        <f t="shared" ref="AP82:AR82" si="38">AQ82-2</f>
        <v>45626</v>
      </c>
      <c r="AQ82" s="338">
        <f t="shared" si="38"/>
        <v>45628</v>
      </c>
      <c r="AR82" s="338">
        <f t="shared" si="38"/>
        <v>45630</v>
      </c>
      <c r="AS82" s="507">
        <v>45632</v>
      </c>
      <c r="AT82" s="25" t="s">
        <v>548</v>
      </c>
      <c r="AU82" s="168"/>
      <c r="AV82" s="127" t="s">
        <v>20</v>
      </c>
      <c r="AW82" s="15" t="s">
        <v>6</v>
      </c>
      <c r="AX82" s="268">
        <v>45644</v>
      </c>
      <c r="AY82" s="268">
        <v>45644</v>
      </c>
      <c r="AZ82" s="24" t="s">
        <v>560</v>
      </c>
      <c r="BA82" s="168"/>
      <c r="BB82" s="127" t="s">
        <v>20</v>
      </c>
      <c r="BC82" s="121" t="s">
        <v>561</v>
      </c>
      <c r="BD82" s="121" t="s">
        <v>21</v>
      </c>
      <c r="BE82" s="269">
        <f>BF82-2</f>
        <v>45742</v>
      </c>
      <c r="BF82" s="269">
        <v>45744</v>
      </c>
      <c r="BG82" s="17" t="s">
        <v>547</v>
      </c>
      <c r="BH82" s="178"/>
      <c r="BI82" s="127" t="s">
        <v>20</v>
      </c>
      <c r="BJ82" s="121">
        <v>45895</v>
      </c>
      <c r="BK82" s="121">
        <v>45895</v>
      </c>
      <c r="BL82" s="25">
        <v>1545</v>
      </c>
      <c r="BM82" s="24" t="s">
        <v>540</v>
      </c>
      <c r="BN82" s="24"/>
      <c r="BO82" s="24"/>
    </row>
    <row r="83" spans="1:68" ht="14.25" customHeight="1">
      <c r="A83" s="15" t="s">
        <v>0</v>
      </c>
      <c r="B83" s="19"/>
      <c r="C83" s="169"/>
      <c r="D83" s="120"/>
      <c r="E83" s="120"/>
      <c r="F83" s="120"/>
      <c r="G83" s="120"/>
      <c r="H83" s="170"/>
      <c r="I83" s="19"/>
      <c r="J83" s="19"/>
      <c r="K83" s="171"/>
      <c r="L83" s="163"/>
      <c r="M83" s="15"/>
      <c r="N83" s="15"/>
      <c r="O83" s="15"/>
      <c r="P83" s="165"/>
      <c r="Q83" s="163"/>
      <c r="R83" s="15"/>
      <c r="S83" s="165"/>
      <c r="T83" s="166"/>
      <c r="U83" s="166"/>
      <c r="V83" s="16">
        <v>350</v>
      </c>
      <c r="W83" s="15" t="s">
        <v>499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67"/>
      <c r="AM83" s="15"/>
      <c r="AN83" s="24"/>
      <c r="AO83" s="24"/>
      <c r="AP83" s="24"/>
      <c r="AQ83" s="24"/>
      <c r="AR83" s="24"/>
      <c r="AS83" s="25"/>
      <c r="AT83" s="25"/>
      <c r="AU83" s="168"/>
      <c r="AV83" s="24"/>
      <c r="AW83" s="24"/>
      <c r="AX83" s="268"/>
      <c r="AY83" s="268"/>
      <c r="AZ83" s="24"/>
      <c r="BA83" s="168"/>
      <c r="BB83" s="24"/>
      <c r="BC83" s="24"/>
      <c r="BD83" s="24"/>
      <c r="BE83" s="24"/>
      <c r="BF83" s="24"/>
      <c r="BG83" s="24"/>
      <c r="BH83" s="16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69" t="s">
        <v>37</v>
      </c>
      <c r="D84" s="120">
        <v>6.992</v>
      </c>
      <c r="E84" s="120">
        <f>D84*4</f>
        <v>27.968</v>
      </c>
      <c r="F84" s="120">
        <f>E84*8</f>
        <v>223.744</v>
      </c>
      <c r="G84" s="120"/>
      <c r="H84" s="170"/>
      <c r="I84" s="19"/>
      <c r="J84" s="19"/>
      <c r="K84" s="171"/>
      <c r="L84" s="163">
        <v>2.6070000000000002</v>
      </c>
      <c r="M84" s="15">
        <v>2.657</v>
      </c>
      <c r="N84" s="15">
        <v>2E-3</v>
      </c>
      <c r="O84" s="15">
        <v>0.21299999999999999</v>
      </c>
      <c r="P84" s="165">
        <f t="shared" si="34"/>
        <v>5.4790000000000001</v>
      </c>
      <c r="Q84" s="163">
        <v>0.24399999999999999</v>
      </c>
      <c r="R84" s="15">
        <v>5.0000000000000001E-3</v>
      </c>
      <c r="S84" s="165">
        <f t="shared" si="35"/>
        <v>0.249</v>
      </c>
      <c r="T84" s="166" t="s">
        <v>31</v>
      </c>
      <c r="U84" s="166" t="s">
        <v>535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67"/>
      <c r="AM84" s="127" t="s">
        <v>20</v>
      </c>
      <c r="AN84" s="121" t="str">
        <f>AO84</f>
        <v>D</v>
      </c>
      <c r="AO84" s="121" t="s">
        <v>21</v>
      </c>
      <c r="AP84" s="338">
        <f t="shared" ref="AP84:AR84" si="39">AQ84-2</f>
        <v>45627</v>
      </c>
      <c r="AQ84" s="338">
        <f t="shared" si="39"/>
        <v>45629</v>
      </c>
      <c r="AR84" s="338">
        <f t="shared" si="39"/>
        <v>45631</v>
      </c>
      <c r="AS84" s="507">
        <v>45633</v>
      </c>
      <c r="AT84" s="25" t="s">
        <v>548</v>
      </c>
      <c r="AU84" s="168"/>
      <c r="AV84" s="127" t="s">
        <v>20</v>
      </c>
      <c r="AW84" s="15" t="s">
        <v>6</v>
      </c>
      <c r="AX84" s="268">
        <v>45645</v>
      </c>
      <c r="AY84" s="268">
        <v>45645</v>
      </c>
      <c r="AZ84" s="24" t="s">
        <v>560</v>
      </c>
      <c r="BA84" s="168"/>
      <c r="BB84" s="127" t="s">
        <v>20</v>
      </c>
      <c r="BC84" s="121" t="s">
        <v>557</v>
      </c>
      <c r="BD84" s="121" t="s">
        <v>21</v>
      </c>
      <c r="BE84" s="269">
        <f>BF84-2</f>
        <v>45745</v>
      </c>
      <c r="BF84" s="269">
        <v>45747</v>
      </c>
      <c r="BG84" s="17" t="s">
        <v>547</v>
      </c>
      <c r="BH84" s="167"/>
      <c r="BI84" s="127" t="s">
        <v>20</v>
      </c>
      <c r="BJ84" s="121">
        <v>45897</v>
      </c>
      <c r="BK84" s="121">
        <v>45897</v>
      </c>
      <c r="BL84" s="25">
        <v>1330</v>
      </c>
      <c r="BM84" s="24" t="s">
        <v>540</v>
      </c>
      <c r="BN84" s="17"/>
      <c r="BO84" s="17"/>
    </row>
    <row r="85" spans="1:68" ht="14.25" customHeight="1">
      <c r="A85" s="15" t="s">
        <v>0</v>
      </c>
      <c r="B85" s="19"/>
      <c r="C85" s="169"/>
      <c r="D85" s="120"/>
      <c r="E85" s="120"/>
      <c r="F85" s="120"/>
      <c r="G85" s="120"/>
      <c r="H85" s="170"/>
      <c r="I85" s="19"/>
      <c r="J85" s="19"/>
      <c r="K85" s="171"/>
      <c r="L85" s="163"/>
      <c r="M85" s="15"/>
      <c r="N85" s="15"/>
      <c r="O85" s="15"/>
      <c r="P85" s="165"/>
      <c r="Q85" s="163"/>
      <c r="R85" s="15"/>
      <c r="S85" s="165"/>
      <c r="T85" s="166"/>
      <c r="U85" s="166"/>
      <c r="V85" s="16">
        <v>291</v>
      </c>
      <c r="W85" s="15" t="s">
        <v>499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67"/>
      <c r="AM85" s="15"/>
      <c r="AN85" s="24"/>
      <c r="AO85" s="24"/>
      <c r="AP85" s="24"/>
      <c r="AQ85" s="24"/>
      <c r="AR85" s="24"/>
      <c r="AS85" s="25"/>
      <c r="AT85" s="25"/>
      <c r="AU85" s="168"/>
      <c r="AV85" s="24"/>
      <c r="AW85" s="24"/>
      <c r="AX85" s="268"/>
      <c r="AY85" s="268"/>
      <c r="AZ85" s="24"/>
      <c r="BA85" s="168"/>
      <c r="BB85" s="24"/>
      <c r="BC85" s="24"/>
      <c r="BD85" s="24"/>
      <c r="BE85" s="24"/>
      <c r="BF85" s="24"/>
      <c r="BG85" s="24"/>
      <c r="BH85" s="16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69" t="s">
        <v>39</v>
      </c>
      <c r="D86" s="120">
        <v>7.7080000000000002</v>
      </c>
      <c r="E86" s="120">
        <f>D86*4</f>
        <v>30.832000000000001</v>
      </c>
      <c r="F86" s="120">
        <f>E86*8</f>
        <v>246.65600000000001</v>
      </c>
      <c r="G86" s="120"/>
      <c r="H86" s="170"/>
      <c r="I86" s="19"/>
      <c r="J86" s="19"/>
      <c r="K86" s="171"/>
      <c r="L86" s="163">
        <v>4.0570000000000004</v>
      </c>
      <c r="M86" s="15">
        <v>2.48</v>
      </c>
      <c r="N86" s="15">
        <v>6.0000000000000001E-3</v>
      </c>
      <c r="O86" s="15">
        <v>0.36499999999999999</v>
      </c>
      <c r="P86" s="165">
        <f t="shared" si="34"/>
        <v>6.9080000000000013</v>
      </c>
      <c r="Q86" s="163">
        <v>0.436</v>
      </c>
      <c r="R86" s="15">
        <v>0.01</v>
      </c>
      <c r="S86" s="165">
        <f t="shared" si="35"/>
        <v>0.44600000000000001</v>
      </c>
      <c r="T86" s="166" t="s">
        <v>97</v>
      </c>
      <c r="U86" s="166" t="s">
        <v>535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67"/>
      <c r="AM86" s="127" t="s">
        <v>20</v>
      </c>
      <c r="AN86" s="121" t="str">
        <f>AO86</f>
        <v>D</v>
      </c>
      <c r="AO86" s="121" t="s">
        <v>21</v>
      </c>
      <c r="AP86" s="338">
        <f>AQ86-2</f>
        <v>45648</v>
      </c>
      <c r="AQ86" s="338">
        <f>AR86-3</f>
        <v>45650</v>
      </c>
      <c r="AR86" s="338">
        <f>AS86-2</f>
        <v>45653</v>
      </c>
      <c r="AS86" s="507">
        <v>45655</v>
      </c>
      <c r="AT86" s="25" t="s">
        <v>548</v>
      </c>
      <c r="AU86" s="168"/>
      <c r="AV86" s="127" t="s">
        <v>20</v>
      </c>
      <c r="AW86" s="15" t="s">
        <v>6</v>
      </c>
      <c r="AX86" s="268">
        <f>AY86</f>
        <v>45695</v>
      </c>
      <c r="AY86" s="268">
        <v>45695</v>
      </c>
      <c r="AZ86" s="172" t="s">
        <v>538</v>
      </c>
      <c r="BA86" s="173"/>
      <c r="BB86" s="127" t="s">
        <v>20</v>
      </c>
      <c r="BC86" s="121" t="s">
        <v>557</v>
      </c>
      <c r="BD86" s="121" t="s">
        <v>21</v>
      </c>
      <c r="BE86" s="269">
        <f>BF86</f>
        <v>45746</v>
      </c>
      <c r="BF86" s="269">
        <v>45746</v>
      </c>
      <c r="BG86" s="17" t="s">
        <v>547</v>
      </c>
      <c r="BH86" s="177"/>
      <c r="BI86" s="127" t="s">
        <v>20</v>
      </c>
      <c r="BJ86" s="121">
        <v>45897</v>
      </c>
      <c r="BK86" s="121">
        <v>45897</v>
      </c>
      <c r="BL86" s="25">
        <v>1001</v>
      </c>
      <c r="BM86" s="24" t="s">
        <v>540</v>
      </c>
      <c r="BN86" s="181" t="s">
        <v>551</v>
      </c>
      <c r="BO86" s="182"/>
    </row>
    <row r="87" spans="1:68" ht="14.25" customHeight="1">
      <c r="A87" s="15" t="s">
        <v>0</v>
      </c>
      <c r="B87" s="19"/>
      <c r="C87" s="169"/>
      <c r="D87" s="120"/>
      <c r="E87" s="120"/>
      <c r="F87" s="120"/>
      <c r="G87" s="120"/>
      <c r="H87" s="170"/>
      <c r="I87" s="19"/>
      <c r="J87" s="19"/>
      <c r="K87" s="171"/>
      <c r="L87" s="163"/>
      <c r="M87" s="15"/>
      <c r="N87" s="15"/>
      <c r="O87" s="15"/>
      <c r="P87" s="165"/>
      <c r="Q87" s="163"/>
      <c r="R87" s="15"/>
      <c r="S87" s="165"/>
      <c r="T87" s="166"/>
      <c r="U87" s="166"/>
      <c r="V87" s="16">
        <v>322</v>
      </c>
      <c r="W87" s="15" t="s">
        <v>499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67"/>
      <c r="AM87" s="15"/>
      <c r="AN87" s="24"/>
      <c r="AO87" s="24"/>
      <c r="AP87" s="24"/>
      <c r="AQ87" s="24"/>
      <c r="AR87" s="24"/>
      <c r="AS87" s="25"/>
      <c r="AT87" s="25"/>
      <c r="AU87" s="168"/>
      <c r="AV87" s="24"/>
      <c r="AW87" s="24"/>
      <c r="AX87" s="268"/>
      <c r="AY87" s="268"/>
      <c r="AZ87" s="24"/>
      <c r="BA87" s="168"/>
      <c r="BB87" s="24"/>
      <c r="BC87" s="24"/>
      <c r="BD87" s="24"/>
      <c r="BE87" s="24"/>
      <c r="BF87" s="24"/>
      <c r="BG87" s="24"/>
      <c r="BH87" s="16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69" t="s">
        <v>76</v>
      </c>
      <c r="D88" s="120">
        <v>7.71</v>
      </c>
      <c r="E88" s="120">
        <f>D88*4</f>
        <v>30.84</v>
      </c>
      <c r="F88" s="120">
        <f>E88*8</f>
        <v>246.72</v>
      </c>
      <c r="G88" s="120"/>
      <c r="H88" s="170"/>
      <c r="I88" s="19"/>
      <c r="J88" s="19"/>
      <c r="K88" s="171"/>
      <c r="L88" s="163">
        <v>3.452</v>
      </c>
      <c r="M88" s="15">
        <v>2.633</v>
      </c>
      <c r="N88" s="15">
        <v>4.0000000000000001E-3</v>
      </c>
      <c r="O88" s="15">
        <v>0.24099999999999999</v>
      </c>
      <c r="P88" s="165">
        <f t="shared" si="34"/>
        <v>6.3299999999999992</v>
      </c>
      <c r="Q88" s="163">
        <v>0.36299999999999999</v>
      </c>
      <c r="R88" s="15">
        <v>6.0000000000000001E-3</v>
      </c>
      <c r="S88" s="165">
        <f t="shared" si="35"/>
        <v>0.36899999999999999</v>
      </c>
      <c r="T88" s="166" t="s">
        <v>31</v>
      </c>
      <c r="U88" s="166" t="s">
        <v>535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67"/>
      <c r="AM88" s="127" t="s">
        <v>20</v>
      </c>
      <c r="AN88" s="121"/>
      <c r="AO88" s="121"/>
      <c r="AP88" s="338">
        <f t="shared" ref="AP88:AR88" si="40">AQ88-3</f>
        <v>45929</v>
      </c>
      <c r="AQ88" s="338">
        <f t="shared" si="40"/>
        <v>45932</v>
      </c>
      <c r="AR88" s="338">
        <f t="shared" si="40"/>
        <v>45935</v>
      </c>
      <c r="AS88" s="507">
        <v>45938</v>
      </c>
      <c r="AT88" s="15" t="s">
        <v>552</v>
      </c>
      <c r="AU88" s="168"/>
      <c r="AV88" s="127" t="s">
        <v>20</v>
      </c>
      <c r="AW88" s="15" t="s">
        <v>6</v>
      </c>
      <c r="AX88" s="268"/>
      <c r="AY88" s="268"/>
      <c r="AZ88" s="24"/>
      <c r="BA88" s="168"/>
      <c r="BB88" s="127" t="s">
        <v>20</v>
      </c>
      <c r="BC88" s="121"/>
      <c r="BD88" s="121"/>
      <c r="BE88" s="269">
        <f>BF90</f>
        <v>45984</v>
      </c>
      <c r="BF88" s="269">
        <f>BE88+1</f>
        <v>45985</v>
      </c>
      <c r="BG88" s="17"/>
      <c r="BH88" s="178"/>
      <c r="BI88" s="127" t="s">
        <v>20</v>
      </c>
      <c r="BJ88" s="121">
        <v>46031</v>
      </c>
      <c r="BK88" s="121">
        <v>46031</v>
      </c>
      <c r="BL88" s="25">
        <v>1252</v>
      </c>
      <c r="BM88" s="24" t="s">
        <v>707</v>
      </c>
      <c r="BN88" s="181" t="s">
        <v>551</v>
      </c>
      <c r="BO88" s="182"/>
      <c r="BP88" s="130" t="s">
        <v>553</v>
      </c>
    </row>
    <row r="89" spans="1:68" ht="14.25" customHeight="1">
      <c r="A89" s="15" t="s">
        <v>0</v>
      </c>
      <c r="B89" s="19"/>
      <c r="C89" s="169"/>
      <c r="D89" s="120"/>
      <c r="E89" s="120"/>
      <c r="F89" s="120"/>
      <c r="G89" s="120"/>
      <c r="H89" s="170"/>
      <c r="I89" s="19"/>
      <c r="J89" s="19"/>
      <c r="K89" s="171"/>
      <c r="L89" s="163"/>
      <c r="M89" s="15"/>
      <c r="N89" s="15"/>
      <c r="O89" s="15"/>
      <c r="P89" s="165"/>
      <c r="Q89" s="163"/>
      <c r="R89" s="15"/>
      <c r="S89" s="165"/>
      <c r="T89" s="166"/>
      <c r="U89" s="166"/>
      <c r="V89" s="16">
        <v>284</v>
      </c>
      <c r="W89" s="15" t="s">
        <v>499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67"/>
      <c r="AM89" s="15"/>
      <c r="AN89" s="24"/>
      <c r="AO89" s="24"/>
      <c r="AP89" s="24"/>
      <c r="AQ89" s="24"/>
      <c r="AR89" s="24"/>
      <c r="AS89" s="25"/>
      <c r="AT89" s="25"/>
      <c r="AU89" s="168"/>
      <c r="AV89" s="24"/>
      <c r="AW89" s="24"/>
      <c r="AX89" s="268"/>
      <c r="AY89" s="268"/>
      <c r="AZ89" s="24"/>
      <c r="BA89" s="168"/>
      <c r="BB89" s="24"/>
      <c r="BC89" s="24"/>
      <c r="BD89" s="24"/>
      <c r="BE89" s="24"/>
      <c r="BF89" s="24"/>
      <c r="BG89" s="24"/>
      <c r="BH89" s="16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69" t="s">
        <v>76</v>
      </c>
      <c r="D90" s="120">
        <v>7.71</v>
      </c>
      <c r="E90" s="120">
        <f>D90*4</f>
        <v>30.84</v>
      </c>
      <c r="F90" s="120">
        <f>E90*8</f>
        <v>246.72</v>
      </c>
      <c r="G90" s="120"/>
      <c r="H90" s="170"/>
      <c r="I90" s="19"/>
      <c r="J90" s="19"/>
      <c r="K90" s="171"/>
      <c r="L90" s="163">
        <v>3.452</v>
      </c>
      <c r="M90" s="15">
        <v>2.633</v>
      </c>
      <c r="N90" s="15">
        <v>4.0000000000000001E-3</v>
      </c>
      <c r="O90" s="15">
        <v>0.24099999999999999</v>
      </c>
      <c r="P90" s="165">
        <f t="shared" si="34"/>
        <v>6.3299999999999992</v>
      </c>
      <c r="Q90" s="163">
        <v>0.36299999999999999</v>
      </c>
      <c r="R90" s="15">
        <v>6.0000000000000001E-3</v>
      </c>
      <c r="S90" s="165">
        <f t="shared" si="35"/>
        <v>0.36899999999999999</v>
      </c>
      <c r="T90" s="166" t="s">
        <v>31</v>
      </c>
      <c r="U90" s="166" t="s">
        <v>535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67"/>
      <c r="AM90" s="127" t="s">
        <v>20</v>
      </c>
      <c r="AN90" s="121"/>
      <c r="AO90" s="121"/>
      <c r="AP90" s="338">
        <f>AQ90-3</f>
        <v>45935</v>
      </c>
      <c r="AQ90" s="338">
        <f t="shared" ref="AQ90:AR90" si="41">AR90-2</f>
        <v>45938</v>
      </c>
      <c r="AR90" s="338">
        <f t="shared" si="41"/>
        <v>45940</v>
      </c>
      <c r="AS90" s="507">
        <v>45942</v>
      </c>
      <c r="AT90" s="15" t="s">
        <v>552</v>
      </c>
      <c r="AU90" s="168"/>
      <c r="AV90" s="127" t="s">
        <v>20</v>
      </c>
      <c r="AW90" s="15" t="s">
        <v>6</v>
      </c>
      <c r="AX90" s="268"/>
      <c r="AY90" s="268"/>
      <c r="AZ90" s="24"/>
      <c r="BA90" s="168"/>
      <c r="BB90" s="127" t="s">
        <v>20</v>
      </c>
      <c r="BC90" s="121"/>
      <c r="BD90" s="121"/>
      <c r="BE90" s="269">
        <f>BF92</f>
        <v>45983</v>
      </c>
      <c r="BF90" s="269">
        <f>BE90+1</f>
        <v>45984</v>
      </c>
      <c r="BG90" s="17"/>
      <c r="BH90" s="178"/>
      <c r="BI90" s="127" t="s">
        <v>20</v>
      </c>
      <c r="BJ90" s="121">
        <v>46032</v>
      </c>
      <c r="BK90" s="121">
        <v>46032</v>
      </c>
      <c r="BL90" s="25">
        <v>1252</v>
      </c>
      <c r="BM90" s="24" t="s">
        <v>707</v>
      </c>
      <c r="BN90" s="24"/>
      <c r="BO90" s="24"/>
    </row>
    <row r="91" spans="1:68" ht="14.25" customHeight="1">
      <c r="A91" s="15" t="s">
        <v>0</v>
      </c>
      <c r="B91" s="19"/>
      <c r="C91" s="169"/>
      <c r="D91" s="120"/>
      <c r="E91" s="120"/>
      <c r="F91" s="120"/>
      <c r="G91" s="120"/>
      <c r="H91" s="170"/>
      <c r="I91" s="19"/>
      <c r="J91" s="19"/>
      <c r="K91" s="171"/>
      <c r="L91" s="163"/>
      <c r="M91" s="15"/>
      <c r="N91" s="15"/>
      <c r="O91" s="15"/>
      <c r="P91" s="165"/>
      <c r="Q91" s="163"/>
      <c r="R91" s="15"/>
      <c r="S91" s="165"/>
      <c r="T91" s="166"/>
      <c r="U91" s="166"/>
      <c r="V91" s="16">
        <v>282.74</v>
      </c>
      <c r="W91" s="15" t="s">
        <v>499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67"/>
      <c r="AM91" s="15"/>
      <c r="AN91" s="24"/>
      <c r="AO91" s="24"/>
      <c r="AP91" s="24"/>
      <c r="AQ91" s="24"/>
      <c r="AR91" s="24"/>
      <c r="AS91" s="25"/>
      <c r="AT91" s="25"/>
      <c r="AU91" s="168"/>
      <c r="AV91" s="24"/>
      <c r="AW91" s="24"/>
      <c r="AX91" s="268"/>
      <c r="AY91" s="268"/>
      <c r="AZ91" s="24"/>
      <c r="BA91" s="168"/>
      <c r="BB91" s="24"/>
      <c r="BC91" s="24"/>
      <c r="BD91" s="24"/>
      <c r="BE91" s="24"/>
      <c r="BF91" s="24"/>
      <c r="BG91" s="24"/>
      <c r="BH91" s="16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69" t="s">
        <v>89</v>
      </c>
      <c r="D92" s="120">
        <v>8.6300000000000008</v>
      </c>
      <c r="E92" s="120">
        <f>D92*4</f>
        <v>34.520000000000003</v>
      </c>
      <c r="F92" s="120">
        <f>E92*8</f>
        <v>276.16000000000003</v>
      </c>
      <c r="G92" s="120"/>
      <c r="H92" s="170"/>
      <c r="I92" s="19"/>
      <c r="J92" s="19"/>
      <c r="K92" s="171"/>
      <c r="L92" s="163">
        <v>3.867</v>
      </c>
      <c r="M92" s="15">
        <v>3.306</v>
      </c>
      <c r="N92" s="15">
        <v>5.0000000000000001E-3</v>
      </c>
      <c r="O92" s="15">
        <v>0.27600000000000002</v>
      </c>
      <c r="P92" s="165">
        <f t="shared" si="34"/>
        <v>7.4539999999999997</v>
      </c>
      <c r="Q92" s="163">
        <v>0.36299999999999999</v>
      </c>
      <c r="R92" s="15">
        <v>6.0000000000000001E-3</v>
      </c>
      <c r="S92" s="165">
        <f t="shared" si="35"/>
        <v>0.36899999999999999</v>
      </c>
      <c r="T92" s="166" t="s">
        <v>101</v>
      </c>
      <c r="U92" s="166" t="s">
        <v>535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67"/>
      <c r="AM92" s="127" t="s">
        <v>20</v>
      </c>
      <c r="AN92" s="121"/>
      <c r="AO92" s="121"/>
      <c r="AP92" s="338">
        <f>AQ92-1</f>
        <v>45942</v>
      </c>
      <c r="AQ92" s="338">
        <f t="shared" ref="AQ92:AR92" si="43">AR92-2</f>
        <v>45943</v>
      </c>
      <c r="AR92" s="338">
        <f t="shared" si="43"/>
        <v>45945</v>
      </c>
      <c r="AS92" s="507">
        <v>45947</v>
      </c>
      <c r="AT92" s="15" t="s">
        <v>552</v>
      </c>
      <c r="AU92" s="184"/>
      <c r="AV92" s="127" t="s">
        <v>20</v>
      </c>
      <c r="AW92" s="15" t="s">
        <v>6</v>
      </c>
      <c r="AX92" s="268"/>
      <c r="AY92" s="268"/>
      <c r="AZ92" s="24"/>
      <c r="BA92" s="168"/>
      <c r="BB92" s="127" t="s">
        <v>20</v>
      </c>
      <c r="BC92" s="121"/>
      <c r="BD92" s="121"/>
      <c r="BE92" s="269">
        <v>45982</v>
      </c>
      <c r="BF92" s="269">
        <f>BE92+1</f>
        <v>45983</v>
      </c>
      <c r="BG92" s="123"/>
      <c r="BH92" s="167"/>
      <c r="BI92" s="127" t="s">
        <v>20</v>
      </c>
      <c r="BJ92" s="121">
        <v>46033</v>
      </c>
      <c r="BK92" s="121">
        <v>46033</v>
      </c>
      <c r="BL92" s="25">
        <v>1560</v>
      </c>
      <c r="BM92" s="24" t="s">
        <v>707</v>
      </c>
      <c r="BN92" s="185" t="s">
        <v>551</v>
      </c>
      <c r="BO92" s="182"/>
    </row>
    <row r="93" spans="1:68" ht="14.25" customHeight="1">
      <c r="A93" s="15" t="s">
        <v>0</v>
      </c>
      <c r="B93" s="19"/>
      <c r="C93" s="169"/>
      <c r="D93" s="120"/>
      <c r="E93" s="120"/>
      <c r="F93" s="120"/>
      <c r="G93" s="120"/>
      <c r="H93" s="170"/>
      <c r="I93" s="19"/>
      <c r="J93" s="19"/>
      <c r="K93" s="171"/>
      <c r="L93" s="163"/>
      <c r="M93" s="15"/>
      <c r="N93" s="15"/>
      <c r="O93" s="15"/>
      <c r="P93" s="165"/>
      <c r="Q93" s="163"/>
      <c r="R93" s="15"/>
      <c r="S93" s="165"/>
      <c r="T93" s="166"/>
      <c r="U93" s="166"/>
      <c r="V93" s="16">
        <v>462.06</v>
      </c>
      <c r="W93" s="15" t="s">
        <v>499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67"/>
      <c r="AM93" s="15"/>
      <c r="AN93" s="24"/>
      <c r="AO93" s="24"/>
      <c r="AP93" s="24"/>
      <c r="AQ93" s="24"/>
      <c r="AR93" s="24"/>
      <c r="AS93" s="25"/>
      <c r="AT93" s="25"/>
      <c r="AU93" s="168"/>
      <c r="AV93" s="24"/>
      <c r="AW93" s="24"/>
      <c r="AX93" s="268"/>
      <c r="AY93" s="268"/>
      <c r="AZ93" s="24"/>
      <c r="BA93" s="168"/>
      <c r="BB93" s="24"/>
      <c r="BC93" s="24"/>
      <c r="BD93" s="24"/>
      <c r="BE93" s="24"/>
      <c r="BF93" s="24"/>
      <c r="BG93" s="24"/>
      <c r="BH93" s="16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69" t="s">
        <v>39</v>
      </c>
      <c r="D94" s="120">
        <v>7.7080000000000002</v>
      </c>
      <c r="E94" s="120">
        <f>D94*4</f>
        <v>30.832000000000001</v>
      </c>
      <c r="F94" s="120">
        <f>E94*8</f>
        <v>246.65600000000001</v>
      </c>
      <c r="G94" s="120">
        <v>1</v>
      </c>
      <c r="H94" s="170"/>
      <c r="I94" s="186" t="s">
        <v>562</v>
      </c>
      <c r="J94" s="186" t="s">
        <v>563</v>
      </c>
      <c r="K94" s="171"/>
      <c r="L94" s="163">
        <v>4.0570000000000004</v>
      </c>
      <c r="M94" s="15">
        <v>2.48</v>
      </c>
      <c r="N94" s="15">
        <v>6.0000000000000001E-3</v>
      </c>
      <c r="O94" s="15">
        <v>0.36499999999999999</v>
      </c>
      <c r="P94" s="165">
        <f t="shared" si="34"/>
        <v>6.9080000000000013</v>
      </c>
      <c r="Q94" s="163">
        <v>0.56599999999999995</v>
      </c>
      <c r="R94" s="15">
        <v>0.01</v>
      </c>
      <c r="S94" s="165">
        <f t="shared" si="35"/>
        <v>0.57599999999999996</v>
      </c>
      <c r="T94" s="166" t="s">
        <v>103</v>
      </c>
      <c r="U94" s="166" t="s">
        <v>535</v>
      </c>
      <c r="V94" s="15"/>
      <c r="W94" s="15"/>
      <c r="X94" s="15">
        <v>78.75</v>
      </c>
      <c r="Y94" s="18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67"/>
      <c r="AM94" s="127" t="s">
        <v>20</v>
      </c>
      <c r="AN94" s="121"/>
      <c r="AO94" s="121"/>
      <c r="AP94" s="338">
        <f>AQ94-1</f>
        <v>45982</v>
      </c>
      <c r="AQ94" s="338">
        <f t="shared" ref="AQ94:AR94" si="44">AR94-2</f>
        <v>45983</v>
      </c>
      <c r="AR94" s="338">
        <f t="shared" si="44"/>
        <v>45985</v>
      </c>
      <c r="AS94" s="507">
        <v>45987</v>
      </c>
      <c r="AT94" s="15" t="s">
        <v>552</v>
      </c>
      <c r="AU94" s="184"/>
      <c r="AV94" s="127" t="s">
        <v>20</v>
      </c>
      <c r="AW94" s="15" t="s">
        <v>6</v>
      </c>
      <c r="AX94" s="268"/>
      <c r="AY94" s="268"/>
      <c r="AZ94" s="19"/>
      <c r="BA94" s="184"/>
      <c r="BB94" s="127" t="s">
        <v>20</v>
      </c>
      <c r="BC94" s="121"/>
      <c r="BD94" s="121"/>
      <c r="BE94" s="269">
        <v>46009</v>
      </c>
      <c r="BF94" s="269">
        <v>46011</v>
      </c>
      <c r="BG94" s="17"/>
      <c r="BH94" s="178"/>
      <c r="BI94" s="127" t="s">
        <v>20</v>
      </c>
      <c r="BJ94" s="121">
        <v>46034</v>
      </c>
      <c r="BK94" s="121">
        <v>46034</v>
      </c>
      <c r="BL94" s="25">
        <v>1001</v>
      </c>
      <c r="BM94" s="24" t="s">
        <v>707</v>
      </c>
      <c r="BN94" s="24"/>
      <c r="BO94" s="24"/>
    </row>
    <row r="95" spans="1:68" ht="14.25" customHeight="1">
      <c r="A95" s="15" t="s">
        <v>0</v>
      </c>
      <c r="B95" s="19"/>
      <c r="C95" s="169"/>
      <c r="D95" s="120"/>
      <c r="E95" s="120"/>
      <c r="F95" s="120"/>
      <c r="G95" s="120"/>
      <c r="H95" s="170"/>
      <c r="I95" s="19"/>
      <c r="J95" s="19"/>
      <c r="K95" s="171"/>
      <c r="L95" s="163"/>
      <c r="M95" s="15"/>
      <c r="N95" s="15"/>
      <c r="O95" s="15"/>
      <c r="P95" s="165"/>
      <c r="Q95" s="163"/>
      <c r="R95" s="15"/>
      <c r="S95" s="165"/>
      <c r="T95" s="166"/>
      <c r="U95" s="166"/>
      <c r="V95" s="16">
        <v>318.04000000000002</v>
      </c>
      <c r="W95" s="15" t="s">
        <v>499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67"/>
      <c r="AM95" s="15"/>
      <c r="AN95" s="24"/>
      <c r="AO95" s="24"/>
      <c r="AP95" s="24"/>
      <c r="AQ95" s="24"/>
      <c r="AR95" s="24"/>
      <c r="AS95" s="25"/>
      <c r="AT95" s="25"/>
      <c r="AU95" s="168"/>
      <c r="AV95" s="24"/>
      <c r="AW95" s="24"/>
      <c r="AX95" s="268"/>
      <c r="AY95" s="268"/>
      <c r="AZ95" s="24"/>
      <c r="BA95" s="168"/>
      <c r="BB95" s="24"/>
      <c r="BC95" s="24"/>
      <c r="BD95" s="24"/>
      <c r="BE95" s="24"/>
      <c r="BF95" s="24"/>
      <c r="BG95" s="24"/>
      <c r="BH95" s="16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69" t="s">
        <v>70</v>
      </c>
      <c r="D96" s="120">
        <v>10.468</v>
      </c>
      <c r="E96" s="120">
        <f>D96*4</f>
        <v>41.872</v>
      </c>
      <c r="F96" s="120">
        <f>E96*8</f>
        <v>334.976</v>
      </c>
      <c r="G96" s="120"/>
      <c r="H96" s="170"/>
      <c r="I96" s="19"/>
      <c r="J96" s="19"/>
      <c r="K96" s="171"/>
      <c r="L96" s="163">
        <v>4.351</v>
      </c>
      <c r="M96" s="15">
        <v>4.2219999999999995</v>
      </c>
      <c r="N96" s="15">
        <v>5.0000000000000001E-3</v>
      </c>
      <c r="O96" s="15">
        <v>0.32100000000000001</v>
      </c>
      <c r="P96" s="165">
        <f t="shared" si="34"/>
        <v>8.8990000000000009</v>
      </c>
      <c r="Q96" s="163">
        <v>0.36299999999999999</v>
      </c>
      <c r="R96" s="15">
        <v>6.0000000000000001E-3</v>
      </c>
      <c r="S96" s="165">
        <f t="shared" si="35"/>
        <v>0.36899999999999999</v>
      </c>
      <c r="T96" s="166" t="s">
        <v>105</v>
      </c>
      <c r="U96" s="166" t="s">
        <v>535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67"/>
      <c r="AM96" s="127" t="s">
        <v>20</v>
      </c>
      <c r="AN96" s="121" t="str">
        <f>AO96</f>
        <v>D</v>
      </c>
      <c r="AO96" s="121" t="s">
        <v>21</v>
      </c>
      <c r="AP96" s="338">
        <f>AQ96-2</f>
        <v>45725</v>
      </c>
      <c r="AQ96" s="338">
        <f>AR96-3</f>
        <v>45727</v>
      </c>
      <c r="AR96" s="338">
        <f>AS96-2</f>
        <v>45730</v>
      </c>
      <c r="AS96" s="507">
        <v>45732</v>
      </c>
      <c r="AT96" s="25" t="s">
        <v>537</v>
      </c>
      <c r="AU96" s="168"/>
      <c r="AV96" s="127" t="s">
        <v>20</v>
      </c>
      <c r="AW96" s="15" t="s">
        <v>6</v>
      </c>
      <c r="AX96" s="268">
        <f>AY96-0</f>
        <v>45736</v>
      </c>
      <c r="AY96" s="268">
        <v>45736</v>
      </c>
      <c r="AZ96" s="172" t="s">
        <v>538</v>
      </c>
      <c r="BA96" s="173"/>
      <c r="BB96" s="127" t="s">
        <v>20</v>
      </c>
      <c r="BC96" s="121" t="s">
        <v>542</v>
      </c>
      <c r="BD96" s="121" t="s">
        <v>21</v>
      </c>
      <c r="BE96" s="269">
        <f>BF96-2</f>
        <v>45755</v>
      </c>
      <c r="BF96" s="269">
        <v>45757</v>
      </c>
      <c r="BG96" s="17" t="s">
        <v>547</v>
      </c>
      <c r="BH96" s="178"/>
      <c r="BI96" s="127" t="s">
        <v>20</v>
      </c>
      <c r="BJ96" s="121">
        <v>45878</v>
      </c>
      <c r="BK96" s="121">
        <f>BJ96</f>
        <v>45878</v>
      </c>
      <c r="BL96" s="25">
        <v>2144</v>
      </c>
      <c r="BM96" s="175" t="s">
        <v>540</v>
      </c>
      <c r="BN96" s="24"/>
      <c r="BO96" s="24"/>
    </row>
    <row r="97" spans="1:65" ht="14.25" customHeight="1">
      <c r="A97" s="15" t="s">
        <v>0</v>
      </c>
      <c r="B97" s="19"/>
      <c r="C97" s="169"/>
      <c r="D97" s="120"/>
      <c r="E97" s="120"/>
      <c r="F97" s="120"/>
      <c r="G97" s="120"/>
      <c r="H97" s="170"/>
      <c r="I97" s="19"/>
      <c r="J97" s="19"/>
      <c r="K97" s="171"/>
      <c r="L97" s="163"/>
      <c r="M97" s="15"/>
      <c r="N97" s="15"/>
      <c r="O97" s="15"/>
      <c r="P97" s="165"/>
      <c r="Q97" s="163"/>
      <c r="R97" s="15"/>
      <c r="S97" s="165"/>
      <c r="T97" s="166"/>
      <c r="U97" s="166"/>
      <c r="V97" s="16">
        <v>364</v>
      </c>
      <c r="W97" s="15" t="s">
        <v>499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67"/>
      <c r="AM97" s="15"/>
      <c r="AN97" s="24"/>
      <c r="AO97" s="24"/>
      <c r="AP97" s="24"/>
      <c r="AQ97" s="24"/>
      <c r="AR97" s="24"/>
      <c r="AS97" s="25"/>
      <c r="AT97" s="25"/>
      <c r="AU97" s="168"/>
      <c r="AV97" s="24"/>
      <c r="AW97" s="24"/>
      <c r="AX97" s="268"/>
      <c r="AY97" s="268"/>
      <c r="AZ97" s="24"/>
      <c r="BA97" s="168"/>
      <c r="BB97" s="24"/>
      <c r="BC97" s="24"/>
      <c r="BD97" s="24"/>
      <c r="BE97" s="24"/>
      <c r="BF97" s="24"/>
      <c r="BG97" s="24"/>
      <c r="BH97" s="16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69" t="s">
        <v>42</v>
      </c>
      <c r="D98" s="120">
        <v>6.3620000000000001</v>
      </c>
      <c r="E98" s="120">
        <f>D98*4</f>
        <v>25.448</v>
      </c>
      <c r="F98" s="120">
        <f>E98*8</f>
        <v>203.584</v>
      </c>
      <c r="G98" s="120"/>
      <c r="H98" s="170"/>
      <c r="I98" s="19"/>
      <c r="J98" s="19"/>
      <c r="K98" s="171"/>
      <c r="L98" s="163">
        <v>2.25</v>
      </c>
      <c r="M98" s="15">
        <v>2.1880000000000002</v>
      </c>
      <c r="N98" s="15">
        <v>2E-3</v>
      </c>
      <c r="O98" s="15">
        <v>0.183</v>
      </c>
      <c r="P98" s="165">
        <f t="shared" si="34"/>
        <v>4.6230000000000002</v>
      </c>
      <c r="Q98" s="163">
        <v>0.24399999999999999</v>
      </c>
      <c r="R98" s="15">
        <v>5.0000000000000001E-3</v>
      </c>
      <c r="S98" s="165">
        <f t="shared" si="35"/>
        <v>0.249</v>
      </c>
      <c r="T98" s="166" t="s">
        <v>31</v>
      </c>
      <c r="U98" s="166" t="s">
        <v>535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76">
        <v>73.73</v>
      </c>
      <c r="AE98" s="176">
        <v>301.5</v>
      </c>
      <c r="AF98" s="176"/>
      <c r="AG98" s="176">
        <v>206.46</v>
      </c>
      <c r="AH98" s="176"/>
      <c r="AI98" s="176"/>
      <c r="AJ98" s="176">
        <v>581.69000000000005</v>
      </c>
      <c r="AK98" s="15">
        <v>0.58169000000000004</v>
      </c>
      <c r="AL98" s="167"/>
      <c r="AM98" s="127" t="s">
        <v>20</v>
      </c>
      <c r="AN98" s="121" t="s">
        <v>21</v>
      </c>
      <c r="AO98" s="121" t="s">
        <v>21</v>
      </c>
      <c r="AP98" s="338">
        <f>AQ98-2</f>
        <v>45720</v>
      </c>
      <c r="AQ98" s="338">
        <f>AR98-1</f>
        <v>45722</v>
      </c>
      <c r="AR98" s="338">
        <f>AS98-2</f>
        <v>45723</v>
      </c>
      <c r="AS98" s="507">
        <v>45725</v>
      </c>
      <c r="AT98" s="25" t="s">
        <v>548</v>
      </c>
      <c r="AU98" s="168"/>
      <c r="AV98" s="127" t="s">
        <v>20</v>
      </c>
      <c r="AW98" s="15" t="s">
        <v>6</v>
      </c>
      <c r="AX98" s="268">
        <f>AY98-0</f>
        <v>45736</v>
      </c>
      <c r="AY98" s="268">
        <v>45736</v>
      </c>
      <c r="AZ98" s="172" t="s">
        <v>538</v>
      </c>
      <c r="BA98" s="173"/>
      <c r="BB98" s="127" t="s">
        <v>20</v>
      </c>
      <c r="BC98" s="121" t="s">
        <v>542</v>
      </c>
      <c r="BD98" s="121" t="s">
        <v>21</v>
      </c>
      <c r="BE98" s="269">
        <f>BF98-1</f>
        <v>45752</v>
      </c>
      <c r="BF98" s="269">
        <v>45753</v>
      </c>
      <c r="BG98" s="17" t="s">
        <v>547</v>
      </c>
      <c r="BH98" s="168"/>
      <c r="BI98" s="127" t="s">
        <v>20</v>
      </c>
      <c r="BJ98" s="121">
        <v>45878</v>
      </c>
      <c r="BK98" s="121">
        <f>BJ98</f>
        <v>45878</v>
      </c>
      <c r="BL98" s="25">
        <v>980</v>
      </c>
      <c r="BM98" s="175" t="s">
        <v>540</v>
      </c>
    </row>
    <row r="99" spans="1:65" ht="14.25" customHeight="1">
      <c r="A99" s="15" t="s">
        <v>0</v>
      </c>
      <c r="B99" s="19"/>
      <c r="C99" s="169"/>
      <c r="D99" s="120"/>
      <c r="E99" s="120"/>
      <c r="F99" s="120"/>
      <c r="G99" s="120"/>
      <c r="H99" s="170"/>
      <c r="I99" s="19"/>
      <c r="J99" s="19"/>
      <c r="K99" s="171"/>
      <c r="L99" s="163"/>
      <c r="M99" s="15"/>
      <c r="N99" s="15"/>
      <c r="O99" s="15"/>
      <c r="P99" s="165"/>
      <c r="Q99" s="163"/>
      <c r="R99" s="15"/>
      <c r="S99" s="165"/>
      <c r="T99" s="166"/>
      <c r="U99" s="166"/>
      <c r="V99" s="16">
        <v>279</v>
      </c>
      <c r="W99" s="15" t="s">
        <v>499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67"/>
      <c r="AM99" s="15"/>
      <c r="AN99" s="24"/>
      <c r="AO99" s="24"/>
      <c r="AP99" s="24"/>
      <c r="AQ99" s="24"/>
      <c r="AR99" s="24"/>
      <c r="AS99" s="25"/>
      <c r="AT99" s="25"/>
      <c r="AU99" s="168"/>
      <c r="AV99" s="24"/>
      <c r="AW99" s="24"/>
      <c r="AX99" s="268"/>
      <c r="AY99" s="268"/>
      <c r="AZ99" s="24"/>
      <c r="BA99" s="168"/>
      <c r="BB99" s="24"/>
      <c r="BC99" s="24"/>
      <c r="BD99" s="24"/>
      <c r="BE99" s="24"/>
      <c r="BF99" s="24"/>
      <c r="BG99" s="24"/>
      <c r="BH99" s="16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69" t="s">
        <v>42</v>
      </c>
      <c r="D100" s="120">
        <v>6.3620000000000001</v>
      </c>
      <c r="E100" s="120">
        <f>D100*4</f>
        <v>25.448</v>
      </c>
      <c r="F100" s="120">
        <f>E100*8</f>
        <v>203.584</v>
      </c>
      <c r="G100" s="120"/>
      <c r="H100" s="170"/>
      <c r="I100" s="19"/>
      <c r="J100" s="19"/>
      <c r="K100" s="171"/>
      <c r="L100" s="163">
        <v>2.25</v>
      </c>
      <c r="M100" s="15">
        <v>2.1880000000000002</v>
      </c>
      <c r="N100" s="15">
        <v>2E-3</v>
      </c>
      <c r="O100" s="15">
        <v>0.183</v>
      </c>
      <c r="P100" s="165">
        <f t="shared" si="34"/>
        <v>4.6230000000000002</v>
      </c>
      <c r="Q100" s="163">
        <v>0.24399999999999999</v>
      </c>
      <c r="R100" s="15">
        <v>5.0000000000000001E-3</v>
      </c>
      <c r="S100" s="165">
        <f t="shared" si="35"/>
        <v>0.249</v>
      </c>
      <c r="T100" s="166" t="s">
        <v>31</v>
      </c>
      <c r="U100" s="166" t="s">
        <v>535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76">
        <v>73.73</v>
      </c>
      <c r="AE100" s="176">
        <v>301.5</v>
      </c>
      <c r="AF100" s="176"/>
      <c r="AG100" s="176">
        <v>206.46</v>
      </c>
      <c r="AH100" s="176"/>
      <c r="AI100" s="176"/>
      <c r="AJ100" s="176">
        <v>581.69000000000005</v>
      </c>
      <c r="AK100" s="15">
        <v>0.58169000000000004</v>
      </c>
      <c r="AL100" s="167"/>
      <c r="AM100" s="127" t="s">
        <v>20</v>
      </c>
      <c r="AN100" s="121" t="str">
        <f>AO100</f>
        <v>D</v>
      </c>
      <c r="AO100" s="121" t="s">
        <v>21</v>
      </c>
      <c r="AP100" s="338">
        <f t="shared" ref="AP100:AQ100" si="45">AQ100-2</f>
        <v>45725</v>
      </c>
      <c r="AQ100" s="338">
        <f t="shared" si="45"/>
        <v>45727</v>
      </c>
      <c r="AR100" s="338">
        <f>AS100-3</f>
        <v>45729</v>
      </c>
      <c r="AS100" s="507">
        <v>45732</v>
      </c>
      <c r="AT100" s="25" t="s">
        <v>537</v>
      </c>
      <c r="AU100" s="168"/>
      <c r="AV100" s="127" t="s">
        <v>20</v>
      </c>
      <c r="AW100" s="15" t="s">
        <v>6</v>
      </c>
      <c r="AX100" s="268">
        <f>AY100-0</f>
        <v>45736</v>
      </c>
      <c r="AY100" s="268">
        <v>45736</v>
      </c>
      <c r="AZ100" s="172" t="s">
        <v>538</v>
      </c>
      <c r="BA100" s="173"/>
      <c r="BB100" s="127" t="s">
        <v>20</v>
      </c>
      <c r="BC100" s="121" t="s">
        <v>557</v>
      </c>
      <c r="BD100" s="121" t="s">
        <v>21</v>
      </c>
      <c r="BE100" s="269">
        <f>BF100-2</f>
        <v>45752</v>
      </c>
      <c r="BF100" s="269">
        <v>45754</v>
      </c>
      <c r="BG100" s="17" t="s">
        <v>547</v>
      </c>
      <c r="BH100" s="178"/>
      <c r="BI100" s="127" t="s">
        <v>20</v>
      </c>
      <c r="BJ100" s="121">
        <v>45878</v>
      </c>
      <c r="BK100" s="121">
        <f>BJ100</f>
        <v>45878</v>
      </c>
      <c r="BL100" s="25">
        <v>980</v>
      </c>
      <c r="BM100" s="175" t="s">
        <v>540</v>
      </c>
    </row>
    <row r="101" spans="1:65" ht="14.25" customHeight="1">
      <c r="A101" s="15" t="s">
        <v>0</v>
      </c>
      <c r="B101" s="19"/>
      <c r="C101" s="169"/>
      <c r="D101" s="120"/>
      <c r="E101" s="120"/>
      <c r="F101" s="120"/>
      <c r="G101" s="120"/>
      <c r="H101" s="170"/>
      <c r="I101" s="19"/>
      <c r="J101" s="19"/>
      <c r="K101" s="171"/>
      <c r="L101" s="163"/>
      <c r="M101" s="15"/>
      <c r="N101" s="15"/>
      <c r="O101" s="15"/>
      <c r="P101" s="165"/>
      <c r="Q101" s="163"/>
      <c r="R101" s="15"/>
      <c r="S101" s="165"/>
      <c r="T101" s="166"/>
      <c r="U101" s="166"/>
      <c r="V101" s="16">
        <v>252</v>
      </c>
      <c r="W101" s="15" t="s">
        <v>499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67"/>
      <c r="AM101" s="15"/>
      <c r="AN101" s="24"/>
      <c r="AO101" s="24"/>
      <c r="AP101" s="24"/>
      <c r="AQ101" s="24"/>
      <c r="AR101" s="24"/>
      <c r="AS101" s="25"/>
      <c r="AT101" s="25"/>
      <c r="AU101" s="168"/>
      <c r="AV101" s="24"/>
      <c r="AW101" s="24"/>
      <c r="AX101" s="268"/>
      <c r="AY101" s="268"/>
      <c r="AZ101" s="24"/>
      <c r="BA101" s="168"/>
      <c r="BB101" s="24"/>
      <c r="BC101" s="24"/>
      <c r="BD101" s="24"/>
      <c r="BE101" s="24"/>
      <c r="BF101" s="24"/>
      <c r="BG101" s="24"/>
      <c r="BH101" s="16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69" t="s">
        <v>42</v>
      </c>
      <c r="D102" s="120">
        <v>6.3620000000000001</v>
      </c>
      <c r="E102" s="120">
        <f>D102*4</f>
        <v>25.448</v>
      </c>
      <c r="F102" s="120">
        <f>E102*8</f>
        <v>203.584</v>
      </c>
      <c r="G102" s="120"/>
      <c r="H102" s="170"/>
      <c r="I102" s="19"/>
      <c r="J102" s="19"/>
      <c r="K102" s="171"/>
      <c r="L102" s="163">
        <v>2.25</v>
      </c>
      <c r="M102" s="15">
        <v>2.1880000000000002</v>
      </c>
      <c r="N102" s="15">
        <v>2E-3</v>
      </c>
      <c r="O102" s="15">
        <v>0.183</v>
      </c>
      <c r="P102" s="165">
        <f t="shared" si="34"/>
        <v>4.6230000000000002</v>
      </c>
      <c r="Q102" s="163">
        <v>0.24399999999999999</v>
      </c>
      <c r="R102" s="15">
        <v>5.0000000000000001E-3</v>
      </c>
      <c r="S102" s="165">
        <f t="shared" si="35"/>
        <v>0.249</v>
      </c>
      <c r="T102" s="166" t="s">
        <v>31</v>
      </c>
      <c r="U102" s="166" t="s">
        <v>535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67"/>
      <c r="AM102" s="127" t="s">
        <v>20</v>
      </c>
      <c r="AN102" s="121" t="str">
        <f>AO102</f>
        <v>D</v>
      </c>
      <c r="AO102" s="121" t="s">
        <v>21</v>
      </c>
      <c r="AP102" s="338">
        <f t="shared" ref="AP102:AR102" si="46">AQ102-2</f>
        <v>45733</v>
      </c>
      <c r="AQ102" s="338">
        <f t="shared" si="46"/>
        <v>45735</v>
      </c>
      <c r="AR102" s="338">
        <f t="shared" si="46"/>
        <v>45737</v>
      </c>
      <c r="AS102" s="507">
        <v>45739</v>
      </c>
      <c r="AT102" s="25" t="s">
        <v>537</v>
      </c>
      <c r="AU102" s="168"/>
      <c r="AV102" s="127" t="s">
        <v>20</v>
      </c>
      <c r="AW102" s="15" t="s">
        <v>543</v>
      </c>
      <c r="AX102" s="268">
        <f>AX100+7</f>
        <v>45743</v>
      </c>
      <c r="AY102" s="268">
        <f>AX102</f>
        <v>45743</v>
      </c>
      <c r="AZ102" s="172" t="s">
        <v>538</v>
      </c>
      <c r="BA102" s="173"/>
      <c r="BB102" s="127" t="s">
        <v>20</v>
      </c>
      <c r="BC102" s="121"/>
      <c r="BD102" s="121" t="s">
        <v>21</v>
      </c>
      <c r="BE102" s="269">
        <f>BF102-2</f>
        <v>45768</v>
      </c>
      <c r="BF102" s="269">
        <v>45770</v>
      </c>
      <c r="BG102" s="17" t="s">
        <v>547</v>
      </c>
      <c r="BH102" s="167"/>
      <c r="BI102" s="127" t="s">
        <v>20</v>
      </c>
      <c r="BJ102" s="121">
        <v>45878</v>
      </c>
      <c r="BK102" s="121">
        <f>BJ102</f>
        <v>45878</v>
      </c>
      <c r="BL102" s="25">
        <v>980</v>
      </c>
      <c r="BM102" s="175" t="s">
        <v>540</v>
      </c>
    </row>
    <row r="103" spans="1:65" ht="14.25" customHeight="1">
      <c r="A103" s="15" t="s">
        <v>0</v>
      </c>
      <c r="B103" s="19"/>
      <c r="C103" s="169"/>
      <c r="D103" s="120"/>
      <c r="E103" s="120"/>
      <c r="F103" s="120"/>
      <c r="G103" s="120"/>
      <c r="H103" s="170"/>
      <c r="I103" s="19"/>
      <c r="J103" s="19"/>
      <c r="K103" s="171"/>
      <c r="L103" s="163"/>
      <c r="M103" s="15"/>
      <c r="N103" s="15"/>
      <c r="O103" s="15"/>
      <c r="P103" s="165"/>
      <c r="Q103" s="163"/>
      <c r="R103" s="15"/>
      <c r="S103" s="165"/>
      <c r="T103" s="166"/>
      <c r="U103" s="166"/>
      <c r="V103" s="16">
        <v>252.05</v>
      </c>
      <c r="W103" s="15" t="s">
        <v>564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67"/>
      <c r="AM103" s="15"/>
      <c r="AN103" s="24"/>
      <c r="AO103" s="24"/>
      <c r="AP103" s="24"/>
      <c r="AQ103" s="24"/>
      <c r="AR103" s="24"/>
      <c r="AS103" s="25"/>
      <c r="AT103" s="25"/>
      <c r="AU103" s="168"/>
      <c r="AV103" s="24"/>
      <c r="AW103" s="24"/>
      <c r="AX103" s="268"/>
      <c r="AY103" s="268"/>
      <c r="AZ103" s="24"/>
      <c r="BA103" s="168"/>
      <c r="BB103" s="24"/>
      <c r="BC103" s="24"/>
      <c r="BD103" s="24"/>
      <c r="BE103" s="24"/>
      <c r="BF103" s="24"/>
      <c r="BG103" s="24"/>
      <c r="BH103" s="16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69" t="s">
        <v>34</v>
      </c>
      <c r="D104" s="120">
        <v>9.6539999999999999</v>
      </c>
      <c r="E104" s="120">
        <f>D104*4</f>
        <v>38.616</v>
      </c>
      <c r="F104" s="120">
        <f>E104*8</f>
        <v>308.928</v>
      </c>
      <c r="G104" s="120"/>
      <c r="H104" s="170"/>
      <c r="I104" s="19"/>
      <c r="J104" s="19"/>
      <c r="K104" s="171"/>
      <c r="L104" s="163">
        <v>4.8070000000000004</v>
      </c>
      <c r="M104" s="15">
        <v>4.016</v>
      </c>
      <c r="N104" s="15">
        <v>7.0000000000000001E-3</v>
      </c>
      <c r="O104" s="15">
        <v>0.43099999999999999</v>
      </c>
      <c r="P104" s="165">
        <f t="shared" si="34"/>
        <v>9.2609999999999992</v>
      </c>
      <c r="Q104" s="163">
        <v>0.55700000000000005</v>
      </c>
      <c r="R104" s="15">
        <v>0.01</v>
      </c>
      <c r="S104" s="165">
        <f t="shared" si="35"/>
        <v>0.56700000000000006</v>
      </c>
      <c r="T104" s="166" t="s">
        <v>110</v>
      </c>
      <c r="U104" s="166" t="s">
        <v>535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67"/>
      <c r="AM104" s="127" t="s">
        <v>20</v>
      </c>
      <c r="AN104" s="121" t="s">
        <v>546</v>
      </c>
      <c r="AO104" s="121" t="s">
        <v>21</v>
      </c>
      <c r="AP104" s="338">
        <f>AQ104-2</f>
        <v>45790</v>
      </c>
      <c r="AQ104" s="338">
        <f>AR104-1</f>
        <v>45792</v>
      </c>
      <c r="AR104" s="338">
        <f>AS104-2</f>
        <v>45793</v>
      </c>
      <c r="AS104" s="507">
        <v>45795</v>
      </c>
      <c r="AT104" s="25" t="s">
        <v>537</v>
      </c>
      <c r="AU104" s="168"/>
      <c r="AV104" s="127" t="s">
        <v>20</v>
      </c>
      <c r="AW104" s="15" t="s">
        <v>543</v>
      </c>
      <c r="AX104" s="268">
        <v>45798</v>
      </c>
      <c r="AY104" s="268">
        <v>45798</v>
      </c>
      <c r="AZ104" s="172" t="s">
        <v>538</v>
      </c>
      <c r="BA104" s="173"/>
      <c r="BB104" s="127" t="s">
        <v>20</v>
      </c>
      <c r="BC104" s="121" t="s">
        <v>554</v>
      </c>
      <c r="BD104" s="121" t="s">
        <v>21</v>
      </c>
      <c r="BE104" s="269">
        <f>BF104-2</f>
        <v>45814</v>
      </c>
      <c r="BF104" s="269">
        <v>45816</v>
      </c>
      <c r="BG104" s="17" t="s">
        <v>547</v>
      </c>
      <c r="BH104" s="167"/>
      <c r="BI104" s="127" t="s">
        <v>20</v>
      </c>
      <c r="BJ104" s="121">
        <v>45882</v>
      </c>
      <c r="BK104" s="121">
        <f>BJ104</f>
        <v>45882</v>
      </c>
      <c r="BL104" s="25">
        <v>1202</v>
      </c>
      <c r="BM104" s="175" t="s">
        <v>540</v>
      </c>
    </row>
    <row r="105" spans="1:65" ht="14.25" customHeight="1">
      <c r="A105" s="15" t="s">
        <v>0</v>
      </c>
      <c r="B105" s="19"/>
      <c r="C105" s="169"/>
      <c r="D105" s="120"/>
      <c r="E105" s="120"/>
      <c r="F105" s="120"/>
      <c r="G105" s="120"/>
      <c r="H105" s="170"/>
      <c r="I105" s="19"/>
      <c r="J105" s="19"/>
      <c r="K105" s="171"/>
      <c r="L105" s="163"/>
      <c r="M105" s="15"/>
      <c r="N105" s="15"/>
      <c r="O105" s="15"/>
      <c r="P105" s="165"/>
      <c r="Q105" s="163"/>
      <c r="R105" s="15"/>
      <c r="S105" s="165"/>
      <c r="T105" s="166"/>
      <c r="U105" s="166"/>
      <c r="V105" s="16">
        <v>173.57</v>
      </c>
      <c r="W105" s="15" t="s">
        <v>564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67"/>
      <c r="AM105" s="15"/>
      <c r="AN105" s="24"/>
      <c r="AO105" s="24"/>
      <c r="AP105" s="24"/>
      <c r="AQ105" s="24"/>
      <c r="AR105" s="24"/>
      <c r="AS105" s="25"/>
      <c r="AT105" s="25"/>
      <c r="AU105" s="168"/>
      <c r="AV105" s="24"/>
      <c r="AW105" s="24"/>
      <c r="AX105" s="268"/>
      <c r="AY105" s="268"/>
      <c r="AZ105" s="24"/>
      <c r="BA105" s="168"/>
      <c r="BB105" s="24"/>
      <c r="BC105" s="24"/>
      <c r="BD105" s="24"/>
      <c r="BE105" s="24"/>
      <c r="BF105" s="24"/>
      <c r="BG105" s="24"/>
      <c r="BH105" s="16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69" t="s">
        <v>34</v>
      </c>
      <c r="D106" s="120">
        <v>9.6539999999999999</v>
      </c>
      <c r="E106" s="120">
        <f>D106*4</f>
        <v>38.616</v>
      </c>
      <c r="F106" s="120">
        <f>E106*8</f>
        <v>308.928</v>
      </c>
      <c r="G106" s="120"/>
      <c r="H106" s="170"/>
      <c r="I106" s="19"/>
      <c r="J106" s="19"/>
      <c r="K106" s="171"/>
      <c r="L106" s="163">
        <v>4.8070000000000004</v>
      </c>
      <c r="M106" s="15">
        <v>4.016</v>
      </c>
      <c r="N106" s="15">
        <v>7.0000000000000001E-3</v>
      </c>
      <c r="O106" s="15">
        <v>0.43099999999999999</v>
      </c>
      <c r="P106" s="165">
        <f t="shared" si="34"/>
        <v>9.2609999999999992</v>
      </c>
      <c r="Q106" s="163">
        <v>0.55700000000000005</v>
      </c>
      <c r="R106" s="15">
        <v>0.01</v>
      </c>
      <c r="S106" s="165">
        <f t="shared" si="35"/>
        <v>0.56700000000000006</v>
      </c>
      <c r="T106" s="166" t="s">
        <v>112</v>
      </c>
      <c r="U106" s="166" t="s">
        <v>535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67"/>
      <c r="AM106" s="127" t="s">
        <v>20</v>
      </c>
      <c r="AN106" s="121" t="str">
        <f>AO106</f>
        <v>D</v>
      </c>
      <c r="AO106" s="121" t="s">
        <v>21</v>
      </c>
      <c r="AP106" s="338">
        <v>45652</v>
      </c>
      <c r="AQ106" s="338">
        <f>AR106-4</f>
        <v>45655</v>
      </c>
      <c r="AR106" s="338">
        <f>AS106-2</f>
        <v>45659</v>
      </c>
      <c r="AS106" s="507">
        <v>45661</v>
      </c>
      <c r="AT106" s="25" t="s">
        <v>560</v>
      </c>
      <c r="AU106" s="168"/>
      <c r="AV106" s="127" t="s">
        <v>20</v>
      </c>
      <c r="AW106" s="15" t="s">
        <v>543</v>
      </c>
      <c r="AX106" s="268">
        <v>45660</v>
      </c>
      <c r="AY106" s="268">
        <f>AX106</f>
        <v>45660</v>
      </c>
      <c r="AZ106" s="24" t="s">
        <v>560</v>
      </c>
      <c r="BA106" s="168"/>
      <c r="BB106" s="127" t="s">
        <v>20</v>
      </c>
      <c r="BC106" s="121"/>
      <c r="BD106" s="121" t="s">
        <v>25</v>
      </c>
      <c r="BE106" s="269">
        <f>BF106-2</f>
        <v>45775</v>
      </c>
      <c r="BF106" s="269">
        <v>45777</v>
      </c>
      <c r="BG106" s="17" t="s">
        <v>547</v>
      </c>
      <c r="BH106" s="167"/>
      <c r="BI106" s="127" t="s">
        <v>20</v>
      </c>
      <c r="BJ106" s="121">
        <v>45886</v>
      </c>
      <c r="BK106" s="121">
        <f>BJ106</f>
        <v>45886</v>
      </c>
      <c r="BL106" s="25">
        <v>1202</v>
      </c>
      <c r="BM106" s="175" t="s">
        <v>540</v>
      </c>
    </row>
    <row r="107" spans="1:65" ht="14.25" customHeight="1">
      <c r="A107" s="15" t="s">
        <v>0</v>
      </c>
      <c r="B107" s="19"/>
      <c r="C107" s="169"/>
      <c r="D107" s="120"/>
      <c r="E107" s="120"/>
      <c r="F107" s="120"/>
      <c r="G107" s="120"/>
      <c r="H107" s="170"/>
      <c r="I107" s="19"/>
      <c r="J107" s="19"/>
      <c r="K107" s="171"/>
      <c r="L107" s="163"/>
      <c r="M107" s="15"/>
      <c r="N107" s="15"/>
      <c r="O107" s="15"/>
      <c r="P107" s="165"/>
      <c r="Q107" s="163"/>
      <c r="R107" s="15"/>
      <c r="S107" s="165"/>
      <c r="T107" s="166"/>
      <c r="U107" s="166"/>
      <c r="V107" s="16">
        <v>336.5</v>
      </c>
      <c r="W107" s="15" t="s">
        <v>541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67"/>
      <c r="AM107" s="15"/>
      <c r="AN107" s="24"/>
      <c r="AO107" s="24"/>
      <c r="AP107" s="24"/>
      <c r="AQ107" s="24"/>
      <c r="AR107" s="24"/>
      <c r="AS107" s="25"/>
      <c r="AT107" s="25"/>
      <c r="AU107" s="168"/>
      <c r="AV107" s="24"/>
      <c r="AW107" s="24"/>
      <c r="AX107" s="268"/>
      <c r="AY107" s="268"/>
      <c r="AZ107" s="24"/>
      <c r="BA107" s="168"/>
      <c r="BB107" s="24"/>
      <c r="BC107" s="24"/>
      <c r="BD107" s="24"/>
      <c r="BE107" s="24"/>
      <c r="BF107" s="24"/>
      <c r="BG107" s="24"/>
      <c r="BH107" s="16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69" t="s">
        <v>116</v>
      </c>
      <c r="D108" s="120">
        <v>10.462</v>
      </c>
      <c r="E108" s="120">
        <f>D108*4</f>
        <v>41.847999999999999</v>
      </c>
      <c r="F108" s="120">
        <f>E108*8</f>
        <v>334.78399999999999</v>
      </c>
      <c r="G108" s="120"/>
      <c r="H108" s="170"/>
      <c r="I108" s="19"/>
      <c r="J108" s="19"/>
      <c r="K108" s="171"/>
      <c r="L108" s="163">
        <v>5.2010000000000005</v>
      </c>
      <c r="M108" s="15">
        <v>4.1459999999999999</v>
      </c>
      <c r="N108" s="15">
        <v>6.7000000000000002E-3</v>
      </c>
      <c r="O108" s="15">
        <v>0.503</v>
      </c>
      <c r="P108" s="165">
        <f t="shared" si="34"/>
        <v>9.8567000000000018</v>
      </c>
      <c r="Q108" s="163">
        <v>0.436</v>
      </c>
      <c r="R108" s="15">
        <v>0.01</v>
      </c>
      <c r="S108" s="165">
        <f t="shared" si="35"/>
        <v>0.44600000000000001</v>
      </c>
      <c r="T108" s="166" t="s">
        <v>114</v>
      </c>
      <c r="U108" s="166" t="s">
        <v>535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67"/>
      <c r="AM108" s="127" t="s">
        <v>20</v>
      </c>
      <c r="AN108" s="121" t="str">
        <f>AO108</f>
        <v>D</v>
      </c>
      <c r="AO108" s="121" t="s">
        <v>21</v>
      </c>
      <c r="AP108" s="338">
        <f t="shared" ref="AP108:AQ108" si="47">AQ108-1</f>
        <v>45633</v>
      </c>
      <c r="AQ108" s="338">
        <f t="shared" si="47"/>
        <v>45634</v>
      </c>
      <c r="AR108" s="338">
        <f>AS108-2</f>
        <v>45635</v>
      </c>
      <c r="AS108" s="507">
        <v>45637</v>
      </c>
      <c r="AT108" s="25" t="s">
        <v>560</v>
      </c>
      <c r="AU108" s="168"/>
      <c r="AV108" s="127" t="s">
        <v>20</v>
      </c>
      <c r="AW108" s="15" t="s">
        <v>543</v>
      </c>
      <c r="AX108" s="268">
        <v>45647</v>
      </c>
      <c r="AY108" s="268">
        <v>45647</v>
      </c>
      <c r="AZ108" s="24" t="s">
        <v>560</v>
      </c>
      <c r="BA108" s="168"/>
      <c r="BB108" s="127" t="s">
        <v>20</v>
      </c>
      <c r="BC108" s="121"/>
      <c r="BD108" s="121" t="s">
        <v>21</v>
      </c>
      <c r="BE108" s="269">
        <f>BF108-2</f>
        <v>45767</v>
      </c>
      <c r="BF108" s="269">
        <v>45769</v>
      </c>
      <c r="BG108" s="17" t="s">
        <v>547</v>
      </c>
      <c r="BH108" s="167"/>
      <c r="BI108" s="127" t="s">
        <v>20</v>
      </c>
      <c r="BJ108" s="121"/>
      <c r="BK108" s="121"/>
      <c r="BL108" s="25">
        <v>1657</v>
      </c>
      <c r="BM108" s="24"/>
    </row>
    <row r="109" spans="1:65" ht="14.25" customHeight="1">
      <c r="A109" s="15" t="s">
        <v>0</v>
      </c>
      <c r="B109" s="19"/>
      <c r="C109" s="169"/>
      <c r="D109" s="120"/>
      <c r="E109" s="120"/>
      <c r="F109" s="120"/>
      <c r="G109" s="120"/>
      <c r="H109" s="170"/>
      <c r="I109" s="19"/>
      <c r="J109" s="19"/>
      <c r="K109" s="171"/>
      <c r="L109" s="163"/>
      <c r="M109" s="15"/>
      <c r="N109" s="15"/>
      <c r="O109" s="15"/>
      <c r="P109" s="165"/>
      <c r="Q109" s="163"/>
      <c r="R109" s="15"/>
      <c r="S109" s="165"/>
      <c r="T109" s="166"/>
      <c r="U109" s="166"/>
      <c r="V109" s="16">
        <v>365</v>
      </c>
      <c r="W109" s="15" t="s">
        <v>502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67"/>
      <c r="AM109" s="15"/>
      <c r="AN109" s="24"/>
      <c r="AO109" s="24"/>
      <c r="AP109" s="24"/>
      <c r="AQ109" s="24"/>
      <c r="AR109" s="24"/>
      <c r="AS109" s="25"/>
      <c r="AT109" s="25"/>
      <c r="AU109" s="168"/>
      <c r="AV109" s="24"/>
      <c r="AW109" s="24"/>
      <c r="AX109" s="268"/>
      <c r="AY109" s="268"/>
      <c r="AZ109" s="24"/>
      <c r="BA109" s="168"/>
      <c r="BB109" s="24"/>
      <c r="BC109" s="24"/>
      <c r="BD109" s="24"/>
      <c r="BE109" s="24"/>
      <c r="BF109" s="24"/>
      <c r="BG109" s="24"/>
      <c r="BH109" s="16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69" t="s">
        <v>42</v>
      </c>
      <c r="D110" s="120">
        <v>6.3620000000000001</v>
      </c>
      <c r="E110" s="120">
        <f>D110*4</f>
        <v>25.448</v>
      </c>
      <c r="F110" s="120">
        <f>E110*8</f>
        <v>203.584</v>
      </c>
      <c r="G110" s="120"/>
      <c r="H110" s="170"/>
      <c r="I110" s="19"/>
      <c r="J110" s="19"/>
      <c r="K110" s="171"/>
      <c r="L110" s="163">
        <v>2.25</v>
      </c>
      <c r="M110" s="15">
        <v>2.1880000000000002</v>
      </c>
      <c r="N110" s="15">
        <v>2E-3</v>
      </c>
      <c r="O110" s="15">
        <v>0.183</v>
      </c>
      <c r="P110" s="165">
        <f t="shared" si="34"/>
        <v>4.6230000000000002</v>
      </c>
      <c r="Q110" s="163">
        <v>0.24399999999999999</v>
      </c>
      <c r="R110" s="15">
        <v>5.0000000000000001E-3</v>
      </c>
      <c r="S110" s="165">
        <f t="shared" si="35"/>
        <v>0.249</v>
      </c>
      <c r="T110" s="166" t="s">
        <v>31</v>
      </c>
      <c r="U110" s="166" t="s">
        <v>535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67"/>
      <c r="AM110" s="127" t="s">
        <v>20</v>
      </c>
      <c r="AN110" s="121" t="str">
        <f>AO110</f>
        <v>D</v>
      </c>
      <c r="AO110" s="121" t="s">
        <v>21</v>
      </c>
      <c r="AP110" s="338">
        <v>45631</v>
      </c>
      <c r="AQ110" s="338">
        <v>45643</v>
      </c>
      <c r="AR110" s="338">
        <v>45644</v>
      </c>
      <c r="AS110" s="507">
        <v>45645</v>
      </c>
      <c r="AT110" s="25" t="s">
        <v>560</v>
      </c>
      <c r="AU110" s="168"/>
      <c r="AV110" s="127" t="s">
        <v>20</v>
      </c>
      <c r="AW110" s="15" t="s">
        <v>543</v>
      </c>
      <c r="AX110" s="268">
        <v>45647</v>
      </c>
      <c r="AY110" s="268">
        <v>45647</v>
      </c>
      <c r="AZ110" s="24" t="s">
        <v>560</v>
      </c>
      <c r="BA110" s="168"/>
      <c r="BB110" s="127" t="s">
        <v>20</v>
      </c>
      <c r="BC110" s="121"/>
      <c r="BD110" s="121" t="s">
        <v>21</v>
      </c>
      <c r="BE110" s="269">
        <f>BF110-1</f>
        <v>45749</v>
      </c>
      <c r="BF110" s="269">
        <v>45750</v>
      </c>
      <c r="BG110" s="17" t="s">
        <v>547</v>
      </c>
      <c r="BH110" s="178"/>
      <c r="BI110" s="127" t="s">
        <v>20</v>
      </c>
      <c r="BJ110" s="121">
        <v>45886</v>
      </c>
      <c r="BK110" s="121">
        <f>BJ110</f>
        <v>45886</v>
      </c>
      <c r="BL110" s="25">
        <v>980</v>
      </c>
      <c r="BM110" s="175" t="s">
        <v>540</v>
      </c>
    </row>
    <row r="111" spans="1:65" ht="14.25" customHeight="1">
      <c r="A111" s="15" t="s">
        <v>0</v>
      </c>
      <c r="B111" s="19"/>
      <c r="C111" s="169"/>
      <c r="D111" s="120"/>
      <c r="E111" s="120"/>
      <c r="F111" s="120"/>
      <c r="G111" s="120"/>
      <c r="H111" s="170"/>
      <c r="I111" s="19"/>
      <c r="J111" s="19"/>
      <c r="K111" s="171"/>
      <c r="L111" s="163"/>
      <c r="M111" s="15"/>
      <c r="N111" s="15"/>
      <c r="O111" s="15"/>
      <c r="P111" s="165"/>
      <c r="Q111" s="163"/>
      <c r="R111" s="15"/>
      <c r="S111" s="165"/>
      <c r="T111" s="166"/>
      <c r="U111" s="166"/>
      <c r="V111" s="16">
        <v>280</v>
      </c>
      <c r="W111" s="15" t="s">
        <v>565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67"/>
      <c r="AM111" s="15"/>
      <c r="AN111" s="24"/>
      <c r="AO111" s="24"/>
      <c r="AP111" s="24"/>
      <c r="AQ111" s="24"/>
      <c r="AR111" s="24"/>
      <c r="AS111" s="25"/>
      <c r="AT111" s="25"/>
      <c r="AU111" s="168"/>
      <c r="AV111" s="24"/>
      <c r="AW111" s="24"/>
      <c r="AX111" s="268"/>
      <c r="AY111" s="268"/>
      <c r="AZ111" s="24"/>
      <c r="BA111" s="168"/>
      <c r="BB111" s="24"/>
      <c r="BC111" s="24"/>
      <c r="BD111" s="24"/>
      <c r="BE111" s="24"/>
      <c r="BF111" s="24"/>
      <c r="BG111" s="24"/>
      <c r="BH111" s="16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69" t="s">
        <v>42</v>
      </c>
      <c r="D112" s="120">
        <v>6.3620000000000001</v>
      </c>
      <c r="E112" s="120">
        <f>D112*4</f>
        <v>25.448</v>
      </c>
      <c r="F112" s="120">
        <f>E112*8</f>
        <v>203.584</v>
      </c>
      <c r="G112" s="120"/>
      <c r="H112" s="170"/>
      <c r="I112" s="19"/>
      <c r="J112" s="19"/>
      <c r="K112" s="171"/>
      <c r="L112" s="163">
        <v>2.25</v>
      </c>
      <c r="M112" s="15">
        <v>2.1880000000000002</v>
      </c>
      <c r="N112" s="15">
        <v>2E-3</v>
      </c>
      <c r="O112" s="15">
        <v>0.183</v>
      </c>
      <c r="P112" s="165">
        <f t="shared" si="34"/>
        <v>4.6230000000000002</v>
      </c>
      <c r="Q112" s="163">
        <v>0.24399999999999999</v>
      </c>
      <c r="R112" s="15">
        <v>5.0000000000000001E-3</v>
      </c>
      <c r="S112" s="165">
        <f t="shared" si="35"/>
        <v>0.249</v>
      </c>
      <c r="T112" s="166" t="s">
        <v>31</v>
      </c>
      <c r="U112" s="166" t="s">
        <v>535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67"/>
      <c r="AM112" s="127" t="s">
        <v>20</v>
      </c>
      <c r="AN112" s="121" t="str">
        <f>AO112</f>
        <v>D</v>
      </c>
      <c r="AO112" s="121" t="s">
        <v>21</v>
      </c>
      <c r="AP112" s="338">
        <f>AQ112-5</f>
        <v>45643</v>
      </c>
      <c r="AQ112" s="338">
        <f>AR112-3</f>
        <v>45648</v>
      </c>
      <c r="AR112" s="338">
        <f>AS112-2</f>
        <v>45651</v>
      </c>
      <c r="AS112" s="507">
        <v>45653</v>
      </c>
      <c r="AT112" s="25" t="s">
        <v>560</v>
      </c>
      <c r="AU112" s="168"/>
      <c r="AV112" s="127" t="s">
        <v>20</v>
      </c>
      <c r="AW112" s="15" t="s">
        <v>543</v>
      </c>
      <c r="AX112" s="268">
        <v>45660</v>
      </c>
      <c r="AY112" s="268">
        <f>AX112</f>
        <v>45660</v>
      </c>
      <c r="AZ112" s="24" t="s">
        <v>560</v>
      </c>
      <c r="BA112" s="168"/>
      <c r="BB112" s="127" t="s">
        <v>20</v>
      </c>
      <c r="BC112" s="121"/>
      <c r="BD112" s="121" t="s">
        <v>21</v>
      </c>
      <c r="BE112" s="269">
        <f>BF112-1</f>
        <v>45750</v>
      </c>
      <c r="BF112" s="269">
        <v>45751</v>
      </c>
      <c r="BG112" s="17" t="s">
        <v>547</v>
      </c>
      <c r="BH112" s="167"/>
      <c r="BI112" s="127" t="s">
        <v>20</v>
      </c>
      <c r="BJ112" s="121">
        <v>45887</v>
      </c>
      <c r="BK112" s="121">
        <f>BJ112</f>
        <v>45887</v>
      </c>
      <c r="BL112" s="25">
        <v>980</v>
      </c>
      <c r="BM112" s="175" t="s">
        <v>540</v>
      </c>
    </row>
    <row r="113" spans="1:66" ht="14.25" customHeight="1">
      <c r="A113" s="15" t="s">
        <v>0</v>
      </c>
      <c r="B113" s="19"/>
      <c r="C113" s="169"/>
      <c r="D113" s="120"/>
      <c r="E113" s="120"/>
      <c r="F113" s="120"/>
      <c r="G113" s="120"/>
      <c r="H113" s="170"/>
      <c r="I113" s="19"/>
      <c r="J113" s="19"/>
      <c r="K113" s="171"/>
      <c r="L113" s="163"/>
      <c r="M113" s="15"/>
      <c r="N113" s="15"/>
      <c r="O113" s="15"/>
      <c r="P113" s="165"/>
      <c r="Q113" s="163"/>
      <c r="R113" s="15"/>
      <c r="S113" s="165"/>
      <c r="T113" s="166"/>
      <c r="U113" s="166"/>
      <c r="V113" s="16">
        <v>255.14</v>
      </c>
      <c r="W113" s="15" t="s">
        <v>565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67"/>
      <c r="AM113" s="15"/>
      <c r="AN113" s="24"/>
      <c r="AO113" s="24"/>
      <c r="AP113" s="24"/>
      <c r="AQ113" s="24"/>
      <c r="AR113" s="24"/>
      <c r="AS113" s="25"/>
      <c r="AT113" s="25"/>
      <c r="AU113" s="168"/>
      <c r="AV113" s="24"/>
      <c r="AW113" s="24"/>
      <c r="AX113" s="268"/>
      <c r="AY113" s="268"/>
      <c r="AZ113" s="24"/>
      <c r="BA113" s="168"/>
      <c r="BB113" s="24"/>
      <c r="BC113" s="24"/>
      <c r="BD113" s="24"/>
      <c r="BE113" s="24"/>
      <c r="BF113" s="24"/>
      <c r="BG113" s="24"/>
      <c r="BH113" s="16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69" t="s">
        <v>34</v>
      </c>
      <c r="D114" s="120">
        <v>9.6539999999999999</v>
      </c>
      <c r="E114" s="120">
        <f>D114*4</f>
        <v>38.616</v>
      </c>
      <c r="F114" s="120">
        <f>E114*8</f>
        <v>308.928</v>
      </c>
      <c r="G114" s="120"/>
      <c r="H114" s="170"/>
      <c r="I114" s="19"/>
      <c r="J114" s="19"/>
      <c r="K114" s="171"/>
      <c r="L114" s="163">
        <v>4.8070000000000004</v>
      </c>
      <c r="M114" s="15">
        <v>4.016</v>
      </c>
      <c r="N114" s="15">
        <v>7.0000000000000001E-3</v>
      </c>
      <c r="O114" s="15">
        <v>0.43099999999999999</v>
      </c>
      <c r="P114" s="165">
        <f t="shared" si="34"/>
        <v>9.2609999999999992</v>
      </c>
      <c r="Q114" s="163">
        <v>0.55700000000000005</v>
      </c>
      <c r="R114" s="15">
        <v>0.01</v>
      </c>
      <c r="S114" s="165">
        <f t="shared" si="35"/>
        <v>0.56700000000000006</v>
      </c>
      <c r="T114" s="166" t="s">
        <v>119</v>
      </c>
      <c r="U114" s="166" t="s">
        <v>535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67"/>
      <c r="AM114" s="127" t="s">
        <v>20</v>
      </c>
      <c r="AN114" s="121" t="s">
        <v>546</v>
      </c>
      <c r="AO114" s="121" t="s">
        <v>21</v>
      </c>
      <c r="AP114" s="338">
        <f>AQ114-3</f>
        <v>45782</v>
      </c>
      <c r="AQ114" s="338">
        <f t="shared" ref="AQ114:AR114" si="48">AR114-2</f>
        <v>45785</v>
      </c>
      <c r="AR114" s="338">
        <f t="shared" si="48"/>
        <v>45787</v>
      </c>
      <c r="AS114" s="507">
        <v>45789</v>
      </c>
      <c r="AT114" s="25" t="s">
        <v>537</v>
      </c>
      <c r="AU114" s="168"/>
      <c r="AV114" s="127" t="s">
        <v>20</v>
      </c>
      <c r="AW114" s="15" t="s">
        <v>6</v>
      </c>
      <c r="AX114" s="268">
        <f>AY114</f>
        <v>45797</v>
      </c>
      <c r="AY114" s="268">
        <v>45797</v>
      </c>
      <c r="AZ114" s="24" t="str">
        <f>AT114</f>
        <v>Ram Singh</v>
      </c>
      <c r="BA114" s="168"/>
      <c r="BB114" s="127" t="s">
        <v>20</v>
      </c>
      <c r="BC114" s="121"/>
      <c r="BD114" s="121" t="s">
        <v>21</v>
      </c>
      <c r="BE114" s="269">
        <f>BF114-2</f>
        <v>45812</v>
      </c>
      <c r="BF114" s="269">
        <v>45814</v>
      </c>
      <c r="BG114" s="17" t="s">
        <v>547</v>
      </c>
      <c r="BH114" s="167"/>
      <c r="BI114" s="127" t="s">
        <v>20</v>
      </c>
      <c r="BJ114" s="121"/>
      <c r="BK114" s="12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69"/>
      <c r="D115" s="120"/>
      <c r="E115" s="120"/>
      <c r="F115" s="120"/>
      <c r="G115" s="120"/>
      <c r="H115" s="170"/>
      <c r="I115" s="19"/>
      <c r="J115" s="19"/>
      <c r="K115" s="171"/>
      <c r="L115" s="163"/>
      <c r="M115" s="15"/>
      <c r="N115" s="15"/>
      <c r="O115" s="15"/>
      <c r="P115" s="165"/>
      <c r="Q115" s="163"/>
      <c r="R115" s="15"/>
      <c r="S115" s="165"/>
      <c r="T115" s="166"/>
      <c r="U115" s="166"/>
      <c r="V115" s="16">
        <v>318.76</v>
      </c>
      <c r="W115" s="15" t="s">
        <v>502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67"/>
      <c r="AM115" s="15"/>
      <c r="AN115" s="24"/>
      <c r="AO115" s="24"/>
      <c r="AP115" s="24"/>
      <c r="AQ115" s="24"/>
      <c r="AR115" s="24"/>
      <c r="AS115" s="25"/>
      <c r="AT115" s="25"/>
      <c r="AU115" s="168"/>
      <c r="AV115" s="24"/>
      <c r="AW115" s="24"/>
      <c r="AX115" s="268"/>
      <c r="AY115" s="268"/>
      <c r="AZ115" s="24"/>
      <c r="BA115" s="168"/>
      <c r="BB115" s="24"/>
      <c r="BC115" s="24"/>
      <c r="BD115" s="24"/>
      <c r="BE115" s="24"/>
      <c r="BF115" s="24"/>
      <c r="BG115" s="24"/>
      <c r="BH115" s="168"/>
      <c r="BI115" s="24"/>
      <c r="BJ115" s="24"/>
      <c r="BK115" s="24"/>
      <c r="BL115" s="24"/>
      <c r="BM115" s="24"/>
      <c r="BN115" s="24"/>
    </row>
    <row r="116" spans="1:66" ht="14.1" customHeight="1">
      <c r="A116" s="15">
        <f t="shared" si="42"/>
        <v>54</v>
      </c>
      <c r="B116" s="19" t="s">
        <v>122</v>
      </c>
      <c r="C116" s="169" t="s">
        <v>34</v>
      </c>
      <c r="D116" s="120">
        <v>9.6539999999999999</v>
      </c>
      <c r="E116" s="120">
        <f>D116*4</f>
        <v>38.616</v>
      </c>
      <c r="F116" s="120">
        <f>E116*8</f>
        <v>308.928</v>
      </c>
      <c r="G116" s="120"/>
      <c r="H116" s="170"/>
      <c r="I116" s="19"/>
      <c r="J116" s="19"/>
      <c r="K116" s="171"/>
      <c r="L116" s="163">
        <v>4.8070000000000004</v>
      </c>
      <c r="M116" s="15">
        <v>4.016</v>
      </c>
      <c r="N116" s="15">
        <v>7.0000000000000001E-3</v>
      </c>
      <c r="O116" s="15">
        <v>0.43099999999999999</v>
      </c>
      <c r="P116" s="165">
        <f t="shared" si="34"/>
        <v>9.2609999999999992</v>
      </c>
      <c r="Q116" s="163">
        <v>0.55700000000000005</v>
      </c>
      <c r="R116" s="15">
        <v>0.01</v>
      </c>
      <c r="S116" s="165">
        <f t="shared" si="35"/>
        <v>0.56700000000000006</v>
      </c>
      <c r="T116" s="166" t="s">
        <v>121</v>
      </c>
      <c r="U116" s="166" t="s">
        <v>535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67"/>
      <c r="AM116" s="127" t="s">
        <v>20</v>
      </c>
      <c r="AN116" s="121" t="str">
        <f>AO116</f>
        <v>D</v>
      </c>
      <c r="AO116" s="121" t="s">
        <v>21</v>
      </c>
      <c r="AP116" s="338">
        <v>45636</v>
      </c>
      <c r="AQ116" s="338">
        <f>AR116-2</f>
        <v>45670</v>
      </c>
      <c r="AR116" s="338">
        <f>AS116-1</f>
        <v>45672</v>
      </c>
      <c r="AS116" s="507">
        <v>45673</v>
      </c>
      <c r="AT116" s="25" t="s">
        <v>560</v>
      </c>
      <c r="AU116" s="168"/>
      <c r="AV116" s="127" t="s">
        <v>20</v>
      </c>
      <c r="AW116" s="15" t="s">
        <v>6</v>
      </c>
      <c r="AX116" s="268">
        <v>45660</v>
      </c>
      <c r="AY116" s="268">
        <f>AX116</f>
        <v>45660</v>
      </c>
      <c r="AZ116" s="24" t="s">
        <v>560</v>
      </c>
      <c r="BA116" s="168"/>
      <c r="BB116" s="127" t="s">
        <v>20</v>
      </c>
      <c r="BC116" s="121"/>
      <c r="BD116" s="121" t="s">
        <v>25</v>
      </c>
      <c r="BE116" s="269">
        <f>BF116-2</f>
        <v>45762</v>
      </c>
      <c r="BF116" s="269">
        <v>45764</v>
      </c>
      <c r="BG116" s="17" t="s">
        <v>547</v>
      </c>
      <c r="BH116" s="178"/>
      <c r="BI116" s="127" t="s">
        <v>20</v>
      </c>
      <c r="BJ116" s="121"/>
      <c r="BK116" s="121"/>
      <c r="BL116" s="25">
        <v>1202</v>
      </c>
      <c r="BM116" s="24" t="s">
        <v>707</v>
      </c>
      <c r="BN116" s="24"/>
    </row>
    <row r="117" spans="1:66" ht="14.25" customHeight="1">
      <c r="A117" s="15" t="s">
        <v>0</v>
      </c>
      <c r="B117" s="19"/>
      <c r="C117" s="169"/>
      <c r="D117" s="120"/>
      <c r="E117" s="120"/>
      <c r="F117" s="120"/>
      <c r="G117" s="120"/>
      <c r="H117" s="170"/>
      <c r="I117" s="19"/>
      <c r="J117" s="19"/>
      <c r="K117" s="171"/>
      <c r="L117" s="163"/>
      <c r="M117" s="15"/>
      <c r="N117" s="15"/>
      <c r="O117" s="15"/>
      <c r="P117" s="165"/>
      <c r="Q117" s="163"/>
      <c r="R117" s="15"/>
      <c r="S117" s="165"/>
      <c r="T117" s="166"/>
      <c r="U117" s="166"/>
      <c r="V117" s="16">
        <v>403.71</v>
      </c>
      <c r="W117" s="15" t="s">
        <v>536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67"/>
      <c r="AM117" s="15"/>
      <c r="AN117" s="24"/>
      <c r="AO117" s="24"/>
      <c r="AP117" s="24"/>
      <c r="AQ117" s="24"/>
      <c r="AR117" s="24"/>
      <c r="AS117" s="25"/>
      <c r="AT117" s="25"/>
      <c r="AU117" s="168"/>
      <c r="AV117" s="24"/>
      <c r="AW117" s="24"/>
      <c r="AX117" s="268"/>
      <c r="AY117" s="268"/>
      <c r="AZ117" s="24"/>
      <c r="BA117" s="168"/>
      <c r="BB117" s="24"/>
      <c r="BC117" s="24"/>
      <c r="BD117" s="24"/>
      <c r="BE117" s="24"/>
      <c r="BF117" s="24"/>
      <c r="BG117" s="24"/>
      <c r="BH117" s="16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567</v>
      </c>
      <c r="C118" s="169" t="s">
        <v>37</v>
      </c>
      <c r="D118" s="120">
        <v>6.992</v>
      </c>
      <c r="E118" s="120">
        <f>D118*4</f>
        <v>27.968</v>
      </c>
      <c r="F118" s="120">
        <f>E118*8</f>
        <v>223.744</v>
      </c>
      <c r="G118" s="120"/>
      <c r="H118" s="170"/>
      <c r="I118" s="19"/>
      <c r="J118" s="19"/>
      <c r="K118" s="171"/>
      <c r="L118" s="163">
        <v>2.6070000000000002</v>
      </c>
      <c r="M118" s="15">
        <v>2.657</v>
      </c>
      <c r="N118" s="15">
        <v>2E-3</v>
      </c>
      <c r="O118" s="15">
        <v>0.21299999999999999</v>
      </c>
      <c r="P118" s="165">
        <f t="shared" si="34"/>
        <v>5.4790000000000001</v>
      </c>
      <c r="Q118" s="163">
        <v>0.24399999999999999</v>
      </c>
      <c r="R118" s="15">
        <v>5.0000000000000001E-3</v>
      </c>
      <c r="S118" s="165">
        <f t="shared" si="35"/>
        <v>0.249</v>
      </c>
      <c r="T118" s="166"/>
      <c r="U118" s="166" t="s">
        <v>535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67"/>
      <c r="AM118" s="127" t="s">
        <v>20</v>
      </c>
      <c r="AN118" s="121"/>
      <c r="AO118" s="121"/>
      <c r="AP118" s="338">
        <f>AQ120</f>
        <v>45979</v>
      </c>
      <c r="AQ118" s="338">
        <v>45984</v>
      </c>
      <c r="AR118" s="338"/>
      <c r="AS118" s="507"/>
      <c r="AT118" s="505" t="s">
        <v>566</v>
      </c>
      <c r="AU118" s="168"/>
      <c r="AV118" s="127" t="s">
        <v>20</v>
      </c>
      <c r="AW118" s="15"/>
      <c r="AX118" s="268"/>
      <c r="AY118" s="268"/>
      <c r="AZ118" s="24"/>
      <c r="BA118" s="168"/>
      <c r="BB118" s="127" t="s">
        <v>20</v>
      </c>
      <c r="BC118" s="121"/>
      <c r="BD118" s="121"/>
      <c r="BE118" s="269">
        <v>45995</v>
      </c>
      <c r="BF118" s="269">
        <v>45998</v>
      </c>
      <c r="BG118" s="17"/>
      <c r="BH118" s="179"/>
      <c r="BI118" s="127" t="s">
        <v>20</v>
      </c>
      <c r="BJ118" s="121"/>
      <c r="BK118" s="121"/>
      <c r="BL118" s="25">
        <v>2008</v>
      </c>
      <c r="BM118" s="24" t="s">
        <v>707</v>
      </c>
      <c r="BN118" s="24"/>
    </row>
    <row r="119" spans="1:66" ht="14.25" customHeight="1">
      <c r="A119" s="15" t="s">
        <v>0</v>
      </c>
      <c r="B119" s="19"/>
      <c r="C119" s="169"/>
      <c r="D119" s="120"/>
      <c r="E119" s="120"/>
      <c r="F119" s="120"/>
      <c r="G119" s="120"/>
      <c r="H119" s="170"/>
      <c r="I119" s="19"/>
      <c r="J119" s="19"/>
      <c r="K119" s="171"/>
      <c r="L119" s="163"/>
      <c r="M119" s="15"/>
      <c r="N119" s="15"/>
      <c r="O119" s="15"/>
      <c r="P119" s="165"/>
      <c r="Q119" s="163"/>
      <c r="R119" s="15"/>
      <c r="S119" s="165"/>
      <c r="T119" s="166"/>
      <c r="U119" s="166"/>
      <c r="V119" s="16"/>
      <c r="W119" s="15" t="s">
        <v>536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67"/>
      <c r="AM119" s="15"/>
      <c r="AN119" s="24"/>
      <c r="AO119" s="24"/>
      <c r="AP119" s="24"/>
      <c r="AQ119" s="24"/>
      <c r="AR119" s="24"/>
      <c r="AS119" s="25"/>
      <c r="AT119" s="25"/>
      <c r="AU119" s="168"/>
      <c r="AV119" s="24"/>
      <c r="AW119" s="24"/>
      <c r="AX119" s="268"/>
      <c r="AY119" s="268"/>
      <c r="AZ119" s="24"/>
      <c r="BA119" s="168"/>
      <c r="BB119" s="24"/>
      <c r="BC119" s="24"/>
      <c r="BD119" s="24"/>
      <c r="BE119" s="24"/>
      <c r="BF119" s="24"/>
      <c r="BG119" s="24"/>
      <c r="BH119" s="16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69" t="s">
        <v>54</v>
      </c>
      <c r="D120" s="120">
        <v>13.257999999999999</v>
      </c>
      <c r="E120" s="120">
        <f>D120*4</f>
        <v>53.031999999999996</v>
      </c>
      <c r="F120" s="120">
        <f>E120*8</f>
        <v>424.25599999999997</v>
      </c>
      <c r="G120" s="120"/>
      <c r="H120" s="170"/>
      <c r="I120" s="19"/>
      <c r="J120" s="19"/>
      <c r="K120" s="171"/>
      <c r="L120" s="16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65">
        <f t="shared" si="34"/>
        <v>12.5037</v>
      </c>
      <c r="Q120" s="163">
        <v>0.55700000000000005</v>
      </c>
      <c r="R120" s="15">
        <v>0.01</v>
      </c>
      <c r="S120" s="165">
        <f t="shared" si="35"/>
        <v>0.56700000000000006</v>
      </c>
      <c r="T120" s="166" t="s">
        <v>31</v>
      </c>
      <c r="U120" s="166" t="s">
        <v>535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67"/>
      <c r="AM120" s="127" t="s">
        <v>20</v>
      </c>
      <c r="AN120" s="121"/>
      <c r="AO120" s="121"/>
      <c r="AP120" s="338">
        <f t="shared" ref="AP120:AQ120" si="49">AQ120-2</f>
        <v>45977</v>
      </c>
      <c r="AQ120" s="338">
        <f t="shared" si="49"/>
        <v>45979</v>
      </c>
      <c r="AR120" s="338">
        <f>AS120</f>
        <v>45981</v>
      </c>
      <c r="AS120" s="507">
        <v>45981</v>
      </c>
      <c r="AT120" s="505" t="s">
        <v>566</v>
      </c>
      <c r="AU120" s="168"/>
      <c r="AV120" s="127" t="s">
        <v>20</v>
      </c>
      <c r="AW120" s="15"/>
      <c r="AX120" s="268"/>
      <c r="AY120" s="268"/>
      <c r="AZ120" s="24"/>
      <c r="BA120" s="168"/>
      <c r="BB120" s="127" t="s">
        <v>20</v>
      </c>
      <c r="BC120" s="121"/>
      <c r="BD120" s="121"/>
      <c r="BE120" s="269">
        <v>45988</v>
      </c>
      <c r="BF120" s="269">
        <v>45990</v>
      </c>
      <c r="BG120" s="17"/>
      <c r="BH120" s="179"/>
      <c r="BI120" s="127" t="s">
        <v>20</v>
      </c>
      <c r="BJ120" s="121"/>
      <c r="BK120" s="121"/>
      <c r="BL120" s="25">
        <v>1545</v>
      </c>
      <c r="BM120" s="24" t="s">
        <v>707</v>
      </c>
      <c r="BN120" s="24"/>
    </row>
    <row r="121" spans="1:66" ht="14.25" customHeight="1">
      <c r="A121" s="15" t="s">
        <v>0</v>
      </c>
      <c r="B121" s="19"/>
      <c r="C121" s="169"/>
      <c r="D121" s="120"/>
      <c r="E121" s="120"/>
      <c r="F121" s="120"/>
      <c r="G121" s="120"/>
      <c r="H121" s="170"/>
      <c r="I121" s="19"/>
      <c r="J121" s="19"/>
      <c r="K121" s="171"/>
      <c r="L121" s="163"/>
      <c r="M121" s="15"/>
      <c r="N121" s="15"/>
      <c r="O121" s="15"/>
      <c r="P121" s="165"/>
      <c r="Q121" s="163"/>
      <c r="R121" s="15"/>
      <c r="S121" s="165"/>
      <c r="T121" s="166"/>
      <c r="U121" s="166"/>
      <c r="V121" s="16">
        <v>302.58</v>
      </c>
      <c r="W121" s="15" t="s">
        <v>536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67"/>
      <c r="AM121" s="15"/>
      <c r="AN121" s="24"/>
      <c r="AO121" s="24"/>
      <c r="AP121" s="24"/>
      <c r="AQ121" s="24"/>
      <c r="AR121" s="24"/>
      <c r="AS121" s="25"/>
      <c r="AT121" s="25"/>
      <c r="AU121" s="168"/>
      <c r="AV121" s="24"/>
      <c r="AW121" s="24"/>
      <c r="AX121" s="268"/>
      <c r="AY121" s="268"/>
      <c r="AZ121" s="24"/>
      <c r="BA121" s="168"/>
      <c r="BB121" s="24"/>
      <c r="BC121" s="24"/>
      <c r="BD121" s="24"/>
      <c r="BE121" s="24"/>
      <c r="BF121" s="24"/>
      <c r="BG121" s="24"/>
      <c r="BH121" s="16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69" t="s">
        <v>56</v>
      </c>
      <c r="D122" s="120">
        <v>7.6219999999999999</v>
      </c>
      <c r="E122" s="120">
        <f>D122*4</f>
        <v>30.488</v>
      </c>
      <c r="F122" s="120">
        <f>E122*8</f>
        <v>243.904</v>
      </c>
      <c r="G122" s="120"/>
      <c r="H122" s="170"/>
      <c r="I122" s="19"/>
      <c r="J122" s="19"/>
      <c r="K122" s="171"/>
      <c r="L122" s="163">
        <v>2.6789999999999998</v>
      </c>
      <c r="M122" s="15">
        <v>3.133</v>
      </c>
      <c r="N122" s="15">
        <v>2.5000000000000001E-3</v>
      </c>
      <c r="O122" s="15">
        <v>0.23299999999999998</v>
      </c>
      <c r="P122" s="165">
        <f t="shared" si="34"/>
        <v>6.0474999999999994</v>
      </c>
      <c r="Q122" s="163">
        <v>0.24399999999999999</v>
      </c>
      <c r="R122" s="15">
        <v>5.0000000000000001E-3</v>
      </c>
      <c r="S122" s="165">
        <f t="shared" si="35"/>
        <v>0.249</v>
      </c>
      <c r="T122" s="166" t="s">
        <v>31</v>
      </c>
      <c r="U122" s="166" t="s">
        <v>535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67"/>
      <c r="AM122" s="127" t="s">
        <v>20</v>
      </c>
      <c r="AN122" s="24"/>
      <c r="AO122" s="24"/>
      <c r="AP122" s="338">
        <v>45986</v>
      </c>
      <c r="AQ122" s="338">
        <v>45992</v>
      </c>
      <c r="AR122" s="338">
        <v>45988</v>
      </c>
      <c r="AS122" s="507">
        <v>45994</v>
      </c>
      <c r="AT122" s="505" t="s">
        <v>566</v>
      </c>
      <c r="AU122" s="168"/>
      <c r="AV122" s="127" t="s">
        <v>20</v>
      </c>
      <c r="AW122" s="24"/>
      <c r="AX122" s="268"/>
      <c r="AY122" s="268"/>
      <c r="AZ122" s="24"/>
      <c r="BA122" s="168"/>
      <c r="BB122" s="127" t="s">
        <v>20</v>
      </c>
      <c r="BC122" s="24"/>
      <c r="BD122" s="24"/>
      <c r="BE122" s="269">
        <f>BF118</f>
        <v>45998</v>
      </c>
      <c r="BF122" s="269">
        <f>BE122+1</f>
        <v>45999</v>
      </c>
      <c r="BG122" s="24"/>
      <c r="BH122" s="168"/>
      <c r="BI122" s="127" t="s">
        <v>20</v>
      </c>
      <c r="BJ122" s="24"/>
      <c r="BK122" s="24"/>
      <c r="BL122" s="25">
        <v>1330</v>
      </c>
      <c r="BM122" s="24" t="s">
        <v>707</v>
      </c>
      <c r="BN122" s="24"/>
    </row>
    <row r="123" spans="1:66" ht="14.25" customHeight="1">
      <c r="A123" s="15" t="s">
        <v>0</v>
      </c>
      <c r="B123" s="19"/>
      <c r="C123" s="169"/>
      <c r="D123" s="120"/>
      <c r="E123" s="120"/>
      <c r="F123" s="120"/>
      <c r="G123" s="120"/>
      <c r="H123" s="170"/>
      <c r="I123" s="19"/>
      <c r="J123" s="19"/>
      <c r="K123" s="171"/>
      <c r="L123" s="163"/>
      <c r="M123" s="15"/>
      <c r="N123" s="15"/>
      <c r="O123" s="15"/>
      <c r="P123" s="165"/>
      <c r="Q123" s="163"/>
      <c r="R123" s="15"/>
      <c r="S123" s="165"/>
      <c r="T123" s="166"/>
      <c r="U123" s="166"/>
      <c r="V123" s="16">
        <v>393.04</v>
      </c>
      <c r="W123" s="15" t="s">
        <v>536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67"/>
      <c r="AM123" s="15"/>
      <c r="AN123" s="24"/>
      <c r="AO123" s="24"/>
      <c r="AP123" s="24"/>
      <c r="AQ123" s="24"/>
      <c r="AR123" s="24"/>
      <c r="AS123" s="25"/>
      <c r="AT123" s="25"/>
      <c r="AU123" s="168"/>
      <c r="AV123" s="24"/>
      <c r="AW123" s="24"/>
      <c r="AX123" s="268"/>
      <c r="AY123" s="268"/>
      <c r="AZ123" s="24"/>
      <c r="BA123" s="168"/>
      <c r="BB123" s="24"/>
      <c r="BC123" s="24"/>
      <c r="BD123" s="24"/>
      <c r="BE123" s="24"/>
      <c r="BF123" s="24"/>
      <c r="BG123" s="24"/>
      <c r="BH123" s="16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69" t="s">
        <v>76</v>
      </c>
      <c r="D124" s="120">
        <v>7.71</v>
      </c>
      <c r="E124" s="120">
        <f>D124*4</f>
        <v>30.84</v>
      </c>
      <c r="F124" s="120">
        <f>E124*8</f>
        <v>246.72</v>
      </c>
      <c r="G124" s="120"/>
      <c r="H124" s="170"/>
      <c r="I124" s="19"/>
      <c r="J124" s="19"/>
      <c r="K124" s="171"/>
      <c r="L124" s="163">
        <v>3.452</v>
      </c>
      <c r="M124" s="15">
        <v>2.633</v>
      </c>
      <c r="N124" s="15">
        <v>4.0000000000000001E-3</v>
      </c>
      <c r="O124" s="15">
        <v>0.24099999999999999</v>
      </c>
      <c r="P124" s="165">
        <f t="shared" si="34"/>
        <v>6.3299999999999992</v>
      </c>
      <c r="Q124" s="163">
        <v>0.36299999999999999</v>
      </c>
      <c r="R124" s="15">
        <v>6.0000000000000001E-3</v>
      </c>
      <c r="S124" s="165">
        <f t="shared" si="35"/>
        <v>0.36899999999999999</v>
      </c>
      <c r="T124" s="166" t="s">
        <v>31</v>
      </c>
      <c r="U124" s="166" t="s">
        <v>535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67"/>
      <c r="AM124" s="127" t="s">
        <v>20</v>
      </c>
      <c r="AN124" s="121"/>
      <c r="AO124" s="121"/>
      <c r="AP124" s="338">
        <f>AQ124-3</f>
        <v>45903</v>
      </c>
      <c r="AQ124" s="338">
        <f t="shared" ref="AQ124:AR124" si="50">AR124-2</f>
        <v>45906</v>
      </c>
      <c r="AR124" s="338">
        <f t="shared" si="50"/>
        <v>45908</v>
      </c>
      <c r="AS124" s="507">
        <v>45910</v>
      </c>
      <c r="AT124" s="25" t="s">
        <v>537</v>
      </c>
      <c r="AU124" s="168"/>
      <c r="AV124" s="127" t="s">
        <v>20</v>
      </c>
      <c r="AW124" s="15" t="s">
        <v>6</v>
      </c>
      <c r="AX124" s="268">
        <f>AS124+2</f>
        <v>45912</v>
      </c>
      <c r="AY124" s="268">
        <f>AX124</f>
        <v>45912</v>
      </c>
      <c r="AZ124" s="24" t="str">
        <f>AT124</f>
        <v>Ram Singh</v>
      </c>
      <c r="BA124" s="168"/>
      <c r="BB124" s="127" t="s">
        <v>20</v>
      </c>
      <c r="BC124" s="121"/>
      <c r="BD124" s="121"/>
      <c r="BE124" s="269">
        <v>45987</v>
      </c>
      <c r="BF124" s="269">
        <v>45988</v>
      </c>
      <c r="BG124" s="25" t="s">
        <v>505</v>
      </c>
      <c r="BH124" s="179"/>
      <c r="BI124" s="127" t="s">
        <v>20</v>
      </c>
      <c r="BJ124" s="121"/>
      <c r="BK124" s="121"/>
      <c r="BL124" s="25">
        <v>1252</v>
      </c>
      <c r="BM124" s="24" t="s">
        <v>707</v>
      </c>
      <c r="BN124" s="24"/>
    </row>
    <row r="125" spans="1:66" ht="14.25" customHeight="1">
      <c r="A125" s="15" t="s">
        <v>0</v>
      </c>
      <c r="B125" s="19"/>
      <c r="C125" s="169"/>
      <c r="D125" s="120"/>
      <c r="E125" s="120"/>
      <c r="F125" s="120"/>
      <c r="G125" s="120"/>
      <c r="H125" s="170"/>
      <c r="I125" s="19"/>
      <c r="J125" s="19"/>
      <c r="K125" s="171"/>
      <c r="L125" s="163"/>
      <c r="M125" s="15"/>
      <c r="N125" s="15"/>
      <c r="O125" s="15"/>
      <c r="P125" s="165"/>
      <c r="Q125" s="163"/>
      <c r="R125" s="15"/>
      <c r="S125" s="165"/>
      <c r="T125" s="166"/>
      <c r="U125" s="166"/>
      <c r="V125" s="16">
        <v>459</v>
      </c>
      <c r="W125" s="15" t="s">
        <v>499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67"/>
      <c r="AM125" s="15"/>
      <c r="AN125" s="24"/>
      <c r="AO125" s="24"/>
      <c r="AP125" s="24"/>
      <c r="AQ125" s="24"/>
      <c r="AR125" s="24"/>
      <c r="AS125" s="25"/>
      <c r="AT125" s="25"/>
      <c r="AU125" s="168"/>
      <c r="AV125" s="24"/>
      <c r="AW125" s="24"/>
      <c r="AX125" s="268"/>
      <c r="AY125" s="268"/>
      <c r="AZ125" s="24"/>
      <c r="BA125" s="168"/>
      <c r="BB125" s="24"/>
      <c r="BC125" s="24"/>
      <c r="BD125" s="24"/>
      <c r="BE125" s="24"/>
      <c r="BF125" s="24"/>
      <c r="BG125" s="24"/>
      <c r="BH125" s="16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69" t="s">
        <v>89</v>
      </c>
      <c r="D126" s="120">
        <v>8.6300000000000008</v>
      </c>
      <c r="E126" s="120">
        <f>D126*4</f>
        <v>34.520000000000003</v>
      </c>
      <c r="F126" s="120">
        <f>E126*8</f>
        <v>276.16000000000003</v>
      </c>
      <c r="G126" s="120"/>
      <c r="H126" s="170"/>
      <c r="I126" s="19"/>
      <c r="J126" s="19"/>
      <c r="K126" s="171"/>
      <c r="L126" s="163">
        <v>3.867</v>
      </c>
      <c r="M126" s="15">
        <v>3.306</v>
      </c>
      <c r="N126" s="15">
        <v>5.0000000000000001E-3</v>
      </c>
      <c r="O126" s="15">
        <v>0.27600000000000002</v>
      </c>
      <c r="P126" s="165">
        <f t="shared" si="34"/>
        <v>7.4539999999999997</v>
      </c>
      <c r="Q126" s="163">
        <v>0.36299999999999999</v>
      </c>
      <c r="R126" s="15">
        <v>6.0000000000000001E-3</v>
      </c>
      <c r="S126" s="165">
        <f t="shared" si="35"/>
        <v>0.36899999999999999</v>
      </c>
      <c r="T126" s="166" t="s">
        <v>31</v>
      </c>
      <c r="U126" s="166" t="s">
        <v>535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67"/>
      <c r="AM126" s="127" t="s">
        <v>20</v>
      </c>
      <c r="AN126" s="121"/>
      <c r="AO126" s="121"/>
      <c r="AP126" s="338">
        <f t="shared" ref="AP126:AR126" si="51">AQ126-2</f>
        <v>45893</v>
      </c>
      <c r="AQ126" s="338">
        <f t="shared" si="51"/>
        <v>45895</v>
      </c>
      <c r="AR126" s="338">
        <f t="shared" si="51"/>
        <v>45897</v>
      </c>
      <c r="AS126" s="507">
        <v>45899</v>
      </c>
      <c r="AT126" s="25" t="s">
        <v>537</v>
      </c>
      <c r="AU126" s="168"/>
      <c r="AV126" s="127" t="s">
        <v>20</v>
      </c>
      <c r="AW126" s="15" t="s">
        <v>6</v>
      </c>
      <c r="AX126" s="268">
        <f>AS126+2</f>
        <v>45901</v>
      </c>
      <c r="AY126" s="268">
        <f>AX126</f>
        <v>45901</v>
      </c>
      <c r="AZ126" s="24" t="str">
        <f>AT126</f>
        <v>Ram Singh</v>
      </c>
      <c r="BA126" s="168"/>
      <c r="BB126" s="127" t="s">
        <v>20</v>
      </c>
      <c r="BC126" s="121"/>
      <c r="BD126" s="121"/>
      <c r="BE126" s="269">
        <f>BF126-2</f>
        <v>45963</v>
      </c>
      <c r="BF126" s="269">
        <v>45965</v>
      </c>
      <c r="BG126" s="25" t="s">
        <v>505</v>
      </c>
      <c r="BH126" s="177"/>
      <c r="BI126" s="127" t="s">
        <v>20</v>
      </c>
      <c r="BJ126" s="121"/>
      <c r="BK126" s="121"/>
      <c r="BL126" s="25">
        <v>1560</v>
      </c>
      <c r="BM126" s="24" t="s">
        <v>707</v>
      </c>
      <c r="BN126" s="185" t="s">
        <v>551</v>
      </c>
    </row>
    <row r="127" spans="1:66" ht="14.25" customHeight="1">
      <c r="A127" s="15" t="s">
        <v>0</v>
      </c>
      <c r="B127" s="19"/>
      <c r="C127" s="169"/>
      <c r="D127" s="120"/>
      <c r="E127" s="120"/>
      <c r="F127" s="120"/>
      <c r="G127" s="120"/>
      <c r="H127" s="170"/>
      <c r="I127" s="19"/>
      <c r="J127" s="19"/>
      <c r="K127" s="171"/>
      <c r="L127" s="163"/>
      <c r="M127" s="15"/>
      <c r="N127" s="15"/>
      <c r="O127" s="15"/>
      <c r="P127" s="165"/>
      <c r="Q127" s="163"/>
      <c r="R127" s="15"/>
      <c r="S127" s="165"/>
      <c r="T127" s="166"/>
      <c r="U127" s="166"/>
      <c r="V127" s="16">
        <v>195</v>
      </c>
      <c r="W127" s="15" t="s">
        <v>499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67"/>
      <c r="AM127" s="15"/>
      <c r="AN127" s="24"/>
      <c r="AO127" s="24"/>
      <c r="AP127" s="24"/>
      <c r="AQ127" s="24"/>
      <c r="AR127" s="24"/>
      <c r="AS127" s="25"/>
      <c r="AT127" s="25"/>
      <c r="AU127" s="168"/>
      <c r="AV127" s="24"/>
      <c r="AW127" s="24"/>
      <c r="AX127" s="268"/>
      <c r="AY127" s="268"/>
      <c r="AZ127" s="24"/>
      <c r="BA127" s="168"/>
      <c r="BB127" s="24"/>
      <c r="BC127" s="24"/>
      <c r="BD127" s="24"/>
      <c r="BE127" s="24"/>
      <c r="BF127" s="24"/>
      <c r="BG127" s="24"/>
      <c r="BH127" s="16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69" t="s">
        <v>76</v>
      </c>
      <c r="D128" s="120">
        <v>7.71</v>
      </c>
      <c r="E128" s="120">
        <f>D128*4</f>
        <v>30.84</v>
      </c>
      <c r="F128" s="120">
        <f>E128*8</f>
        <v>246.72</v>
      </c>
      <c r="G128" s="120"/>
      <c r="H128" s="170"/>
      <c r="I128" s="19"/>
      <c r="J128" s="19"/>
      <c r="K128" s="171"/>
      <c r="L128" s="163">
        <v>3.452</v>
      </c>
      <c r="M128" s="15">
        <v>2.633</v>
      </c>
      <c r="N128" s="15">
        <v>4.0000000000000001E-3</v>
      </c>
      <c r="O128" s="15">
        <v>0.24099999999999999</v>
      </c>
      <c r="P128" s="165">
        <f t="shared" si="34"/>
        <v>6.3299999999999992</v>
      </c>
      <c r="Q128" s="163">
        <v>0.36299999999999999</v>
      </c>
      <c r="R128" s="15">
        <v>6.0000000000000001E-3</v>
      </c>
      <c r="S128" s="165">
        <f t="shared" si="35"/>
        <v>0.36899999999999999</v>
      </c>
      <c r="T128" s="166" t="s">
        <v>31</v>
      </c>
      <c r="U128" s="166" t="s">
        <v>535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67"/>
      <c r="AM128" s="127" t="s">
        <v>20</v>
      </c>
      <c r="AN128" s="121"/>
      <c r="AO128" s="121"/>
      <c r="AP128" s="338">
        <f>AQ128-6</f>
        <v>45875</v>
      </c>
      <c r="AQ128" s="338">
        <f>AR128-3</f>
        <v>45881</v>
      </c>
      <c r="AR128" s="338">
        <f>AS128-2</f>
        <v>45884</v>
      </c>
      <c r="AS128" s="507">
        <v>45886</v>
      </c>
      <c r="AT128" s="25" t="s">
        <v>537</v>
      </c>
      <c r="AU128" s="168"/>
      <c r="AV128" s="127" t="s">
        <v>20</v>
      </c>
      <c r="AW128" s="15" t="s">
        <v>6</v>
      </c>
      <c r="AX128" s="268">
        <f>AS128+2</f>
        <v>45888</v>
      </c>
      <c r="AY128" s="268">
        <f>AX128</f>
        <v>45888</v>
      </c>
      <c r="AZ128" s="24" t="str">
        <f>AT128</f>
        <v>Ram Singh</v>
      </c>
      <c r="BA128" s="168"/>
      <c r="BB128" s="127" t="s">
        <v>20</v>
      </c>
      <c r="BC128" s="121"/>
      <c r="BD128" s="121"/>
      <c r="BE128" s="269">
        <f>BF128-2</f>
        <v>45964</v>
      </c>
      <c r="BF128" s="269">
        <v>45966</v>
      </c>
      <c r="BG128" s="25" t="s">
        <v>505</v>
      </c>
      <c r="BH128" s="177"/>
      <c r="BI128" s="127" t="s">
        <v>20</v>
      </c>
      <c r="BJ128" s="121"/>
      <c r="BK128" s="121"/>
      <c r="BL128" s="25">
        <v>1252</v>
      </c>
      <c r="BM128" s="24" t="s">
        <v>707</v>
      </c>
      <c r="BN128" s="24"/>
    </row>
    <row r="129" spans="1:66" ht="14.25" customHeight="1">
      <c r="A129" s="15" t="s">
        <v>0</v>
      </c>
      <c r="B129" s="19"/>
      <c r="C129" s="169"/>
      <c r="D129" s="120"/>
      <c r="E129" s="120"/>
      <c r="F129" s="120"/>
      <c r="G129" s="120"/>
      <c r="H129" s="170"/>
      <c r="I129" s="19"/>
      <c r="J129" s="19"/>
      <c r="K129" s="171"/>
      <c r="L129" s="163"/>
      <c r="M129" s="15"/>
      <c r="N129" s="15"/>
      <c r="O129" s="15"/>
      <c r="P129" s="165"/>
      <c r="Q129" s="163"/>
      <c r="R129" s="15"/>
      <c r="S129" s="165"/>
      <c r="T129" s="166"/>
      <c r="U129" s="166"/>
      <c r="V129" s="16">
        <v>295</v>
      </c>
      <c r="W129" s="15" t="s">
        <v>499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67"/>
      <c r="AM129" s="15"/>
      <c r="AN129" s="24"/>
      <c r="AO129" s="24"/>
      <c r="AP129" s="24"/>
      <c r="AQ129" s="24"/>
      <c r="AR129" s="24"/>
      <c r="AS129" s="25"/>
      <c r="AT129" s="25"/>
      <c r="AU129" s="168"/>
      <c r="AV129" s="24"/>
      <c r="AW129" s="24"/>
      <c r="AX129" s="268"/>
      <c r="AY129" s="268"/>
      <c r="AZ129" s="24"/>
      <c r="BA129" s="168"/>
      <c r="BB129" s="24"/>
      <c r="BC129" s="24"/>
      <c r="BD129" s="24"/>
      <c r="BE129" s="24"/>
      <c r="BF129" s="24"/>
      <c r="BG129" s="24"/>
      <c r="BH129" s="16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69" t="s">
        <v>76</v>
      </c>
      <c r="D130" s="120">
        <v>7.71</v>
      </c>
      <c r="E130" s="120">
        <f>D130*4</f>
        <v>30.84</v>
      </c>
      <c r="F130" s="120">
        <f>E130*8</f>
        <v>246.72</v>
      </c>
      <c r="G130" s="120"/>
      <c r="H130" s="170"/>
      <c r="I130" s="19"/>
      <c r="J130" s="19"/>
      <c r="K130" s="171"/>
      <c r="L130" s="163">
        <v>3.452</v>
      </c>
      <c r="M130" s="15">
        <v>2.633</v>
      </c>
      <c r="N130" s="15">
        <v>4.0000000000000001E-3</v>
      </c>
      <c r="O130" s="15">
        <v>0.24099999999999999</v>
      </c>
      <c r="P130" s="165">
        <f t="shared" si="34"/>
        <v>6.3299999999999992</v>
      </c>
      <c r="Q130" s="163">
        <v>0.36299999999999999</v>
      </c>
      <c r="R130" s="15">
        <v>6.0000000000000001E-3</v>
      </c>
      <c r="S130" s="165">
        <f t="shared" si="35"/>
        <v>0.36899999999999999</v>
      </c>
      <c r="T130" s="166" t="s">
        <v>31</v>
      </c>
      <c r="U130" s="166" t="s">
        <v>535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67"/>
      <c r="AM130" s="127" t="s">
        <v>20</v>
      </c>
      <c r="AN130" s="121"/>
      <c r="AO130" s="121"/>
      <c r="AP130" s="338">
        <f>AQ130-6</f>
        <v>45881</v>
      </c>
      <c r="AQ130" s="338">
        <f>AR130-3</f>
        <v>45887</v>
      </c>
      <c r="AR130" s="338">
        <f>AS130-2</f>
        <v>45890</v>
      </c>
      <c r="AS130" s="507">
        <v>45892</v>
      </c>
      <c r="AT130" s="25" t="s">
        <v>537</v>
      </c>
      <c r="AU130" s="168"/>
      <c r="AV130" s="127" t="s">
        <v>20</v>
      </c>
      <c r="AW130" s="15" t="s">
        <v>6</v>
      </c>
      <c r="AX130" s="268">
        <f>AS130+2</f>
        <v>45894</v>
      </c>
      <c r="AY130" s="268">
        <f>AX130</f>
        <v>45894</v>
      </c>
      <c r="AZ130" s="24" t="str">
        <f>AT130</f>
        <v>Ram Singh</v>
      </c>
      <c r="BA130" s="168"/>
      <c r="BB130" s="127" t="s">
        <v>20</v>
      </c>
      <c r="BC130" s="121"/>
      <c r="BD130" s="121"/>
      <c r="BE130" s="269">
        <f>BF130-2</f>
        <v>45966</v>
      </c>
      <c r="BF130" s="269">
        <v>45968</v>
      </c>
      <c r="BG130" s="25" t="s">
        <v>505</v>
      </c>
      <c r="BH130" s="178"/>
      <c r="BI130" s="127" t="s">
        <v>20</v>
      </c>
      <c r="BJ130" s="121"/>
      <c r="BK130" s="121"/>
      <c r="BL130" s="25">
        <v>1252</v>
      </c>
      <c r="BM130" s="24" t="s">
        <v>707</v>
      </c>
      <c r="BN130" s="24"/>
    </row>
    <row r="131" spans="1:66" ht="14.25" customHeight="1">
      <c r="A131" s="15" t="s">
        <v>0</v>
      </c>
      <c r="B131" s="19"/>
      <c r="C131" s="169"/>
      <c r="D131" s="120"/>
      <c r="E131" s="120"/>
      <c r="F131" s="120"/>
      <c r="G131" s="120"/>
      <c r="H131" s="170"/>
      <c r="I131" s="19"/>
      <c r="J131" s="19"/>
      <c r="K131" s="171"/>
      <c r="L131" s="163"/>
      <c r="M131" s="15"/>
      <c r="N131" s="15"/>
      <c r="O131" s="15"/>
      <c r="P131" s="165"/>
      <c r="Q131" s="163"/>
      <c r="R131" s="15"/>
      <c r="S131" s="165"/>
      <c r="T131" s="166"/>
      <c r="U131" s="166"/>
      <c r="V131" s="16">
        <v>380.25</v>
      </c>
      <c r="W131" s="15" t="s">
        <v>499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67"/>
      <c r="AM131" s="15"/>
      <c r="AN131" s="24"/>
      <c r="AO131" s="24"/>
      <c r="AP131" s="24"/>
      <c r="AQ131" s="24"/>
      <c r="AR131" s="24"/>
      <c r="AS131" s="25"/>
      <c r="AT131" s="25"/>
      <c r="AU131" s="168"/>
      <c r="AV131" s="24"/>
      <c r="AW131" s="24"/>
      <c r="AX131" s="268"/>
      <c r="AY131" s="268"/>
      <c r="AZ131" s="24"/>
      <c r="BA131" s="168"/>
      <c r="BB131" s="24"/>
      <c r="BC131" s="24"/>
      <c r="BD131" s="24"/>
      <c r="BE131" s="24"/>
      <c r="BF131" s="24"/>
      <c r="BG131" s="24"/>
      <c r="BH131" s="16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69" t="s">
        <v>39</v>
      </c>
      <c r="D132" s="120">
        <v>7.7080000000000002</v>
      </c>
      <c r="E132" s="120">
        <f>D132*4</f>
        <v>30.832000000000001</v>
      </c>
      <c r="F132" s="120">
        <f>E132*8</f>
        <v>246.65600000000001</v>
      </c>
      <c r="G132" s="120">
        <v>1</v>
      </c>
      <c r="H132" s="170"/>
      <c r="I132" s="19">
        <v>2</v>
      </c>
      <c r="J132" s="19">
        <v>2</v>
      </c>
      <c r="K132" s="171"/>
      <c r="L132" s="163">
        <v>4.0570000000000004</v>
      </c>
      <c r="M132" s="15">
        <v>2.48</v>
      </c>
      <c r="N132" s="15">
        <v>6.0000000000000001E-3</v>
      </c>
      <c r="O132" s="15">
        <v>0.36499999999999999</v>
      </c>
      <c r="P132" s="165">
        <f t="shared" si="34"/>
        <v>6.9080000000000013</v>
      </c>
      <c r="Q132" s="163">
        <v>0.436</v>
      </c>
      <c r="R132" s="15">
        <v>0.01</v>
      </c>
      <c r="S132" s="165">
        <f t="shared" si="35"/>
        <v>0.44600000000000001</v>
      </c>
      <c r="T132" s="166" t="s">
        <v>129</v>
      </c>
      <c r="U132" s="166" t="s">
        <v>568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67"/>
      <c r="AM132" s="127" t="s">
        <v>20</v>
      </c>
      <c r="AN132" s="121"/>
      <c r="AO132" s="121"/>
      <c r="AP132" s="338">
        <f t="shared" ref="AP132:AR132" si="52">AQ132-2</f>
        <v>45915</v>
      </c>
      <c r="AQ132" s="338">
        <f t="shared" si="52"/>
        <v>45917</v>
      </c>
      <c r="AR132" s="338">
        <f t="shared" si="52"/>
        <v>45919</v>
      </c>
      <c r="AS132" s="507">
        <v>45921</v>
      </c>
      <c r="AT132" s="25" t="s">
        <v>537</v>
      </c>
      <c r="AU132" s="168"/>
      <c r="AV132" s="127" t="s">
        <v>20</v>
      </c>
      <c r="AW132" s="15" t="s">
        <v>6</v>
      </c>
      <c r="AX132" s="268"/>
      <c r="AY132" s="268"/>
      <c r="AZ132" s="24"/>
      <c r="BA132" s="168"/>
      <c r="BB132" s="127" t="s">
        <v>20</v>
      </c>
      <c r="BC132" s="121"/>
      <c r="BD132" s="121"/>
      <c r="BE132" s="269">
        <f>BF132-2</f>
        <v>45968</v>
      </c>
      <c r="BF132" s="269">
        <v>45970</v>
      </c>
      <c r="BG132" s="25" t="s">
        <v>505</v>
      </c>
      <c r="BH132" s="178"/>
      <c r="BI132" s="127" t="s">
        <v>20</v>
      </c>
      <c r="BJ132" s="121"/>
      <c r="BK132" s="121"/>
      <c r="BL132" s="25">
        <v>1001</v>
      </c>
      <c r="BM132" s="24" t="s">
        <v>707</v>
      </c>
      <c r="BN132" s="181" t="s">
        <v>551</v>
      </c>
    </row>
    <row r="133" spans="1:66" ht="14.25" customHeight="1">
      <c r="A133" s="15" t="s">
        <v>0</v>
      </c>
      <c r="B133" s="19"/>
      <c r="C133" s="169"/>
      <c r="D133" s="120"/>
      <c r="E133" s="120"/>
      <c r="F133" s="120"/>
      <c r="G133" s="120"/>
      <c r="H133" s="170"/>
      <c r="I133" s="19"/>
      <c r="J133" s="19"/>
      <c r="K133" s="171"/>
      <c r="L133" s="163"/>
      <c r="M133" s="15"/>
      <c r="N133" s="15"/>
      <c r="O133" s="15"/>
      <c r="P133" s="165"/>
      <c r="Q133" s="163"/>
      <c r="R133" s="15"/>
      <c r="S133" s="165"/>
      <c r="T133" s="166"/>
      <c r="U133" s="166"/>
      <c r="V133" s="16">
        <v>428</v>
      </c>
      <c r="W133" s="15" t="s">
        <v>499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67"/>
      <c r="AM133" s="15"/>
      <c r="AN133" s="24"/>
      <c r="AO133" s="24"/>
      <c r="AP133" s="24"/>
      <c r="AQ133" s="24"/>
      <c r="AR133" s="24"/>
      <c r="AS133" s="25"/>
      <c r="AT133" s="25"/>
      <c r="AU133" s="168"/>
      <c r="AV133" s="24"/>
      <c r="AW133" s="24"/>
      <c r="AX133" s="268"/>
      <c r="AY133" s="268"/>
      <c r="AZ133" s="24"/>
      <c r="BA133" s="168"/>
      <c r="BB133" s="24"/>
      <c r="BC133" s="24"/>
      <c r="BD133" s="24"/>
      <c r="BE133" s="24"/>
      <c r="BF133" s="24"/>
      <c r="BG133" s="24"/>
      <c r="BH133" s="16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69" t="s">
        <v>89</v>
      </c>
      <c r="D134" s="120">
        <v>8.6300000000000008</v>
      </c>
      <c r="E134" s="120">
        <f>D134*4</f>
        <v>34.520000000000003</v>
      </c>
      <c r="F134" s="120">
        <f>E134*8</f>
        <v>276.16000000000003</v>
      </c>
      <c r="G134" s="120"/>
      <c r="H134" s="170"/>
      <c r="I134" s="19"/>
      <c r="J134" s="19"/>
      <c r="K134" s="171"/>
      <c r="L134" s="163">
        <v>3.867</v>
      </c>
      <c r="M134" s="15">
        <v>3.306</v>
      </c>
      <c r="N134" s="15">
        <v>5.0000000000000001E-3</v>
      </c>
      <c r="O134" s="15">
        <v>0.27600000000000002</v>
      </c>
      <c r="P134" s="165">
        <f t="shared" si="34"/>
        <v>7.4539999999999997</v>
      </c>
      <c r="Q134" s="163">
        <v>0.36299999999999999</v>
      </c>
      <c r="R134" s="15">
        <v>6.0000000000000001E-3</v>
      </c>
      <c r="S134" s="165">
        <f t="shared" si="35"/>
        <v>0.36899999999999999</v>
      </c>
      <c r="T134" s="166" t="s">
        <v>31</v>
      </c>
      <c r="U134" s="166" t="s">
        <v>568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67"/>
      <c r="AM134" s="127" t="s">
        <v>20</v>
      </c>
      <c r="AN134" s="121" t="s">
        <v>546</v>
      </c>
      <c r="AO134" s="121" t="s">
        <v>21</v>
      </c>
      <c r="AP134" s="338">
        <f>AQ134-2</f>
        <v>45811</v>
      </c>
      <c r="AQ134" s="338">
        <f>AR134-1</f>
        <v>45813</v>
      </c>
      <c r="AR134" s="338">
        <f>AS134-2</f>
        <v>45814</v>
      </c>
      <c r="AS134" s="507">
        <v>45816</v>
      </c>
      <c r="AT134" s="25" t="s">
        <v>548</v>
      </c>
      <c r="AU134" s="168"/>
      <c r="AV134" s="127" t="s">
        <v>20</v>
      </c>
      <c r="AW134" s="15" t="s">
        <v>6</v>
      </c>
      <c r="AX134" s="268">
        <f>AY134</f>
        <v>45820</v>
      </c>
      <c r="AY134" s="268">
        <v>45820</v>
      </c>
      <c r="AZ134" s="24" t="str">
        <f>AT134</f>
        <v>Shree shyam</v>
      </c>
      <c r="BA134" s="168"/>
      <c r="BB134" s="127" t="s">
        <v>20</v>
      </c>
      <c r="BC134" s="121"/>
      <c r="BD134" s="121" t="s">
        <v>569</v>
      </c>
      <c r="BE134" s="269">
        <f>BF134-2</f>
        <v>45831</v>
      </c>
      <c r="BF134" s="269">
        <v>45833</v>
      </c>
      <c r="BG134" s="25" t="s">
        <v>505</v>
      </c>
      <c r="BH134" s="179"/>
      <c r="BI134" s="127" t="s">
        <v>20</v>
      </c>
      <c r="BJ134" s="121"/>
      <c r="BK134" s="121"/>
      <c r="BL134" s="25">
        <v>1560</v>
      </c>
      <c r="BM134" s="24"/>
      <c r="BN134" s="182" t="s">
        <v>551</v>
      </c>
    </row>
    <row r="135" spans="1:66" ht="14.25" customHeight="1">
      <c r="A135" s="15" t="s">
        <v>0</v>
      </c>
      <c r="B135" s="19"/>
      <c r="C135" s="169"/>
      <c r="D135" s="120"/>
      <c r="E135" s="120"/>
      <c r="F135" s="120"/>
      <c r="G135" s="120"/>
      <c r="H135" s="170"/>
      <c r="I135" s="19"/>
      <c r="J135" s="19"/>
      <c r="K135" s="171"/>
      <c r="L135" s="163"/>
      <c r="M135" s="15"/>
      <c r="N135" s="15"/>
      <c r="O135" s="15"/>
      <c r="P135" s="165"/>
      <c r="Q135" s="163"/>
      <c r="R135" s="15"/>
      <c r="S135" s="165"/>
      <c r="T135" s="166"/>
      <c r="U135" s="166"/>
      <c r="V135" s="16">
        <v>419</v>
      </c>
      <c r="W135" s="15" t="s">
        <v>499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67"/>
      <c r="AM135" s="15"/>
      <c r="AN135" s="24"/>
      <c r="AO135" s="24"/>
      <c r="AP135" s="24"/>
      <c r="AQ135" s="24"/>
      <c r="AR135" s="24"/>
      <c r="AS135" s="25"/>
      <c r="AT135" s="25"/>
      <c r="AU135" s="168"/>
      <c r="AV135" s="24"/>
      <c r="AW135" s="24"/>
      <c r="AX135" s="268"/>
      <c r="AY135" s="268"/>
      <c r="AZ135" s="24"/>
      <c r="BA135" s="168"/>
      <c r="BB135" s="24"/>
      <c r="BC135" s="24"/>
      <c r="BD135" s="24"/>
      <c r="BE135" s="24"/>
      <c r="BF135" s="24"/>
      <c r="BG135" s="24"/>
      <c r="BH135" s="16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69" t="s">
        <v>70</v>
      </c>
      <c r="D136" s="120">
        <v>10.468</v>
      </c>
      <c r="E136" s="120">
        <f>D136*4</f>
        <v>41.872</v>
      </c>
      <c r="F136" s="120">
        <f>E136*8</f>
        <v>334.976</v>
      </c>
      <c r="G136" s="120"/>
      <c r="H136" s="170"/>
      <c r="I136" s="19"/>
      <c r="J136" s="19"/>
      <c r="K136" s="171"/>
      <c r="L136" s="163">
        <v>4.351</v>
      </c>
      <c r="M136" s="15">
        <v>4.2219999999999995</v>
      </c>
      <c r="N136" s="15">
        <v>5.0000000000000001E-3</v>
      </c>
      <c r="O136" s="15">
        <v>0.32100000000000001</v>
      </c>
      <c r="P136" s="165">
        <f t="shared" si="34"/>
        <v>8.8990000000000009</v>
      </c>
      <c r="Q136" s="163">
        <v>0.36299999999999999</v>
      </c>
      <c r="R136" s="15">
        <v>6.0000000000000001E-3</v>
      </c>
      <c r="S136" s="165">
        <f t="shared" si="35"/>
        <v>0.36899999999999999</v>
      </c>
      <c r="T136" s="166" t="s">
        <v>31</v>
      </c>
      <c r="U136" s="166" t="s">
        <v>568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67"/>
      <c r="AM136" s="127" t="s">
        <v>20</v>
      </c>
      <c r="AN136" s="121" t="str">
        <f>AO136</f>
        <v>D</v>
      </c>
      <c r="AO136" s="121" t="s">
        <v>21</v>
      </c>
      <c r="AP136" s="338">
        <v>45678</v>
      </c>
      <c r="AQ136" s="338">
        <f>AR136-3</f>
        <v>45679</v>
      </c>
      <c r="AR136" s="338">
        <f>AS136-2</f>
        <v>45682</v>
      </c>
      <c r="AS136" s="507">
        <v>45684</v>
      </c>
      <c r="AT136" s="25" t="s">
        <v>560</v>
      </c>
      <c r="AU136" s="168"/>
      <c r="AV136" s="127" t="s">
        <v>20</v>
      </c>
      <c r="AW136" s="15" t="s">
        <v>6</v>
      </c>
      <c r="AX136" s="268">
        <v>45662</v>
      </c>
      <c r="AY136" s="268">
        <v>45662</v>
      </c>
      <c r="AZ136" s="172" t="s">
        <v>538</v>
      </c>
      <c r="BA136" s="173"/>
      <c r="BB136" s="127" t="s">
        <v>20</v>
      </c>
      <c r="BC136" s="121"/>
      <c r="BD136" s="121" t="s">
        <v>569</v>
      </c>
      <c r="BE136" s="269">
        <f>BF136-2</f>
        <v>45817</v>
      </c>
      <c r="BF136" s="269">
        <v>45819</v>
      </c>
      <c r="BG136" s="17" t="s">
        <v>547</v>
      </c>
      <c r="BH136" s="179"/>
      <c r="BI136" s="127" t="s">
        <v>20</v>
      </c>
      <c r="BJ136" s="121"/>
      <c r="BK136" s="12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69"/>
      <c r="D137" s="120"/>
      <c r="E137" s="120"/>
      <c r="F137" s="120"/>
      <c r="G137" s="120"/>
      <c r="H137" s="170"/>
      <c r="I137" s="19"/>
      <c r="J137" s="19"/>
      <c r="K137" s="171"/>
      <c r="L137" s="163"/>
      <c r="M137" s="15"/>
      <c r="N137" s="15"/>
      <c r="O137" s="15"/>
      <c r="P137" s="165"/>
      <c r="Q137" s="163"/>
      <c r="R137" s="15"/>
      <c r="S137" s="165"/>
      <c r="T137" s="166"/>
      <c r="U137" s="166"/>
      <c r="V137" s="16">
        <v>345</v>
      </c>
      <c r="W137" s="15" t="s">
        <v>499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67"/>
      <c r="AM137" s="15"/>
      <c r="AN137" s="24"/>
      <c r="AO137" s="24"/>
      <c r="AP137" s="24"/>
      <c r="AQ137" s="24"/>
      <c r="AR137" s="24"/>
      <c r="AS137" s="25"/>
      <c r="AT137" s="25"/>
      <c r="AU137" s="168"/>
      <c r="AV137" s="24"/>
      <c r="AW137" s="24"/>
      <c r="AX137" s="268"/>
      <c r="AY137" s="268"/>
      <c r="AZ137" s="24"/>
      <c r="BA137" s="168"/>
      <c r="BB137" s="24"/>
      <c r="BC137" s="24"/>
      <c r="BD137" s="24"/>
      <c r="BE137" s="24"/>
      <c r="BF137" s="24"/>
      <c r="BG137" s="24"/>
      <c r="BH137" s="16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69" t="s">
        <v>37</v>
      </c>
      <c r="D138" s="120">
        <v>6.992</v>
      </c>
      <c r="E138" s="120">
        <f>D138*4</f>
        <v>27.968</v>
      </c>
      <c r="F138" s="120">
        <f>E138*8</f>
        <v>223.744</v>
      </c>
      <c r="G138" s="120"/>
      <c r="H138" s="170"/>
      <c r="I138" s="19"/>
      <c r="J138" s="19"/>
      <c r="K138" s="171"/>
      <c r="L138" s="163">
        <v>2.6070000000000002</v>
      </c>
      <c r="M138" s="15">
        <v>2.657</v>
      </c>
      <c r="N138" s="15">
        <v>2E-3</v>
      </c>
      <c r="O138" s="15">
        <v>0.21299999999999999</v>
      </c>
      <c r="P138" s="165">
        <f t="shared" si="34"/>
        <v>5.4790000000000001</v>
      </c>
      <c r="Q138" s="163">
        <v>0.24399999999999999</v>
      </c>
      <c r="R138" s="15">
        <v>5.0000000000000001E-3</v>
      </c>
      <c r="S138" s="165">
        <f t="shared" si="35"/>
        <v>0.249</v>
      </c>
      <c r="T138" s="166" t="s">
        <v>31</v>
      </c>
      <c r="U138" s="166" t="s">
        <v>568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67"/>
      <c r="AM138" s="127" t="s">
        <v>20</v>
      </c>
      <c r="AN138" s="121" t="s">
        <v>546</v>
      </c>
      <c r="AO138" s="121" t="s">
        <v>21</v>
      </c>
      <c r="AP138" s="338">
        <f>AQ138-1</f>
        <v>45809</v>
      </c>
      <c r="AQ138" s="338">
        <f t="shared" ref="AQ138:AR138" si="53">AR138-2</f>
        <v>45810</v>
      </c>
      <c r="AR138" s="338">
        <f t="shared" si="53"/>
        <v>45812</v>
      </c>
      <c r="AS138" s="507">
        <v>45814</v>
      </c>
      <c r="AT138" s="25" t="s">
        <v>538</v>
      </c>
      <c r="AU138" s="173"/>
      <c r="AV138" s="127" t="s">
        <v>20</v>
      </c>
      <c r="AW138" s="15" t="s">
        <v>6</v>
      </c>
      <c r="AX138" s="268">
        <f>AY138</f>
        <v>45820</v>
      </c>
      <c r="AY138" s="268">
        <v>45820</v>
      </c>
      <c r="AZ138" s="24" t="str">
        <f>AT138</f>
        <v>Ram Singh-1</v>
      </c>
      <c r="BA138" s="168"/>
      <c r="BB138" s="127" t="s">
        <v>20</v>
      </c>
      <c r="BC138" s="121"/>
      <c r="BD138" s="121" t="s">
        <v>570</v>
      </c>
      <c r="BE138" s="269">
        <v>45830</v>
      </c>
      <c r="BF138" s="269">
        <v>45832</v>
      </c>
      <c r="BG138" s="17" t="s">
        <v>547</v>
      </c>
      <c r="BH138" s="167"/>
      <c r="BI138" s="127" t="s">
        <v>20</v>
      </c>
      <c r="BJ138" s="121"/>
      <c r="BK138" s="12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69"/>
      <c r="D139" s="120"/>
      <c r="E139" s="120"/>
      <c r="F139" s="120"/>
      <c r="G139" s="120"/>
      <c r="H139" s="170"/>
      <c r="I139" s="19"/>
      <c r="J139" s="19"/>
      <c r="K139" s="171"/>
      <c r="L139" s="163"/>
      <c r="M139" s="15"/>
      <c r="N139" s="15"/>
      <c r="O139" s="15"/>
      <c r="P139" s="165"/>
      <c r="Q139" s="163"/>
      <c r="R139" s="15"/>
      <c r="S139" s="165"/>
      <c r="T139" s="166"/>
      <c r="U139" s="166"/>
      <c r="V139" s="16">
        <v>296</v>
      </c>
      <c r="W139" s="15" t="s">
        <v>499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67"/>
      <c r="AM139" s="15"/>
      <c r="AN139" s="24"/>
      <c r="AO139" s="24"/>
      <c r="AP139" s="24"/>
      <c r="AQ139" s="24"/>
      <c r="AR139" s="24"/>
      <c r="AS139" s="25"/>
      <c r="AT139" s="25"/>
      <c r="AU139" s="168"/>
      <c r="AV139" s="24"/>
      <c r="AW139" s="24"/>
      <c r="AX139" s="268"/>
      <c r="AY139" s="268"/>
      <c r="AZ139" s="24"/>
      <c r="BA139" s="168"/>
      <c r="BB139" s="24"/>
      <c r="BC139" s="24"/>
      <c r="BD139" s="24"/>
      <c r="BE139" s="24"/>
      <c r="BF139" s="24"/>
      <c r="BG139" s="24"/>
      <c r="BH139" s="16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69" t="s">
        <v>42</v>
      </c>
      <c r="D140" s="120">
        <v>6.3620000000000001</v>
      </c>
      <c r="E140" s="120">
        <f>D140*4</f>
        <v>25.448</v>
      </c>
      <c r="F140" s="120">
        <f>E140*8</f>
        <v>203.584</v>
      </c>
      <c r="G140" s="120"/>
      <c r="H140" s="170"/>
      <c r="I140" s="19"/>
      <c r="J140" s="19"/>
      <c r="K140" s="171"/>
      <c r="L140" s="163">
        <v>2.25</v>
      </c>
      <c r="M140" s="15">
        <v>2.1880000000000002</v>
      </c>
      <c r="N140" s="15">
        <v>2E-3</v>
      </c>
      <c r="O140" s="15">
        <v>0.183</v>
      </c>
      <c r="P140" s="165">
        <f t="shared" ref="P140:P202" si="54">SUM(L140:O140)</f>
        <v>4.6230000000000002</v>
      </c>
      <c r="Q140" s="163">
        <v>0.24399999999999999</v>
      </c>
      <c r="R140" s="15">
        <v>5.0000000000000001E-3</v>
      </c>
      <c r="S140" s="165">
        <f t="shared" ref="S140:S202" si="55">SUM(Q140:R140)</f>
        <v>0.249</v>
      </c>
      <c r="T140" s="166" t="s">
        <v>31</v>
      </c>
      <c r="U140" s="166" t="s">
        <v>568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67"/>
      <c r="AM140" s="127" t="s">
        <v>20</v>
      </c>
      <c r="AN140" s="121" t="s">
        <v>546</v>
      </c>
      <c r="AO140" s="121" t="s">
        <v>21</v>
      </c>
      <c r="AP140" s="338">
        <f t="shared" ref="AP140:AR140" si="57">AQ140-2</f>
        <v>45767</v>
      </c>
      <c r="AQ140" s="338">
        <f t="shared" si="57"/>
        <v>45769</v>
      </c>
      <c r="AR140" s="338">
        <f t="shared" si="57"/>
        <v>45771</v>
      </c>
      <c r="AS140" s="507">
        <v>45773</v>
      </c>
      <c r="AT140" s="25" t="s">
        <v>538</v>
      </c>
      <c r="AU140" s="173"/>
      <c r="AV140" s="127" t="s">
        <v>20</v>
      </c>
      <c r="AW140" s="15" t="s">
        <v>6</v>
      </c>
      <c r="AX140" s="268">
        <f>AY140</f>
        <v>45661</v>
      </c>
      <c r="AY140" s="268">
        <v>45661</v>
      </c>
      <c r="AZ140" s="172" t="s">
        <v>538</v>
      </c>
      <c r="BA140" s="173"/>
      <c r="BB140" s="127" t="s">
        <v>20</v>
      </c>
      <c r="BC140" s="121"/>
      <c r="BD140" s="121" t="s">
        <v>570</v>
      </c>
      <c r="BE140" s="269">
        <f>BF140-2</f>
        <v>45829</v>
      </c>
      <c r="BF140" s="269">
        <v>45831</v>
      </c>
      <c r="BG140" s="17" t="s">
        <v>547</v>
      </c>
      <c r="BH140" s="167"/>
      <c r="BI140" s="127" t="s">
        <v>20</v>
      </c>
      <c r="BJ140" s="121"/>
      <c r="BK140" s="12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69"/>
      <c r="D141" s="120"/>
      <c r="E141" s="120"/>
      <c r="F141" s="120"/>
      <c r="G141" s="120"/>
      <c r="H141" s="170"/>
      <c r="I141" s="19"/>
      <c r="J141" s="19"/>
      <c r="K141" s="171"/>
      <c r="L141" s="163"/>
      <c r="M141" s="15"/>
      <c r="N141" s="15"/>
      <c r="O141" s="15"/>
      <c r="P141" s="165"/>
      <c r="Q141" s="163"/>
      <c r="R141" s="15"/>
      <c r="S141" s="165"/>
      <c r="T141" s="166"/>
      <c r="U141" s="166"/>
      <c r="V141" s="16">
        <v>259</v>
      </c>
      <c r="W141" s="15" t="s">
        <v>499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67"/>
      <c r="AM141" s="15"/>
      <c r="AN141" s="24"/>
      <c r="AO141" s="24"/>
      <c r="AP141" s="24"/>
      <c r="AQ141" s="24"/>
      <c r="AR141" s="24"/>
      <c r="AS141" s="25"/>
      <c r="AT141" s="25"/>
      <c r="AU141" s="168"/>
      <c r="AV141" s="24"/>
      <c r="AW141" s="24"/>
      <c r="AX141" s="268"/>
      <c r="AY141" s="268"/>
      <c r="AZ141" s="24"/>
      <c r="BA141" s="168"/>
      <c r="BB141" s="24"/>
      <c r="BC141" s="24"/>
      <c r="BD141" s="24"/>
      <c r="BE141" s="24"/>
      <c r="BF141" s="24"/>
      <c r="BG141" s="24"/>
      <c r="BH141" s="16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69" t="s">
        <v>70</v>
      </c>
      <c r="D142" s="120">
        <v>10.468</v>
      </c>
      <c r="E142" s="120">
        <f>D142*4</f>
        <v>41.872</v>
      </c>
      <c r="F142" s="120">
        <f>E142*8</f>
        <v>334.976</v>
      </c>
      <c r="G142" s="120"/>
      <c r="H142" s="170"/>
      <c r="I142" s="19"/>
      <c r="J142" s="19"/>
      <c r="K142" s="171"/>
      <c r="L142" s="163">
        <v>4.351</v>
      </c>
      <c r="M142" s="15">
        <v>4.2219999999999995</v>
      </c>
      <c r="N142" s="15">
        <v>5.0000000000000001E-3</v>
      </c>
      <c r="O142" s="15">
        <v>0.32100000000000001</v>
      </c>
      <c r="P142" s="165">
        <f t="shared" si="54"/>
        <v>8.8990000000000009</v>
      </c>
      <c r="Q142" s="163">
        <v>0.36299999999999999</v>
      </c>
      <c r="R142" s="15">
        <v>6.0000000000000001E-3</v>
      </c>
      <c r="S142" s="165">
        <f t="shared" si="55"/>
        <v>0.36899999999999999</v>
      </c>
      <c r="T142" s="166" t="s">
        <v>31</v>
      </c>
      <c r="U142" s="166" t="s">
        <v>568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67"/>
      <c r="AM142" s="127" t="s">
        <v>20</v>
      </c>
      <c r="AN142" s="121" t="s">
        <v>546</v>
      </c>
      <c r="AO142" s="121" t="s">
        <v>21</v>
      </c>
      <c r="AP142" s="338">
        <f t="shared" ref="AP142:AR142" si="58">AQ142-2</f>
        <v>45766</v>
      </c>
      <c r="AQ142" s="338">
        <f t="shared" si="58"/>
        <v>45768</v>
      </c>
      <c r="AR142" s="338">
        <f t="shared" si="58"/>
        <v>45770</v>
      </c>
      <c r="AS142" s="507">
        <v>45772</v>
      </c>
      <c r="AT142" s="25" t="s">
        <v>538</v>
      </c>
      <c r="AU142" s="173"/>
      <c r="AV142" s="127" t="s">
        <v>20</v>
      </c>
      <c r="AW142" s="15" t="s">
        <v>6</v>
      </c>
      <c r="AX142" s="268">
        <f>AY142</f>
        <v>45661</v>
      </c>
      <c r="AY142" s="268">
        <v>45661</v>
      </c>
      <c r="AZ142" s="172" t="s">
        <v>538</v>
      </c>
      <c r="BA142" s="173"/>
      <c r="BB142" s="127" t="s">
        <v>20</v>
      </c>
      <c r="BC142" s="121"/>
      <c r="BD142" s="121" t="s">
        <v>569</v>
      </c>
      <c r="BE142" s="269">
        <f>BF142-2</f>
        <v>45833</v>
      </c>
      <c r="BF142" s="269">
        <v>45835</v>
      </c>
      <c r="BG142" s="17" t="s">
        <v>547</v>
      </c>
      <c r="BH142" s="177"/>
      <c r="BI142" s="127" t="s">
        <v>20</v>
      </c>
      <c r="BJ142" s="121"/>
      <c r="BK142" s="12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69"/>
      <c r="D143" s="120"/>
      <c r="E143" s="120"/>
      <c r="F143" s="120"/>
      <c r="G143" s="120"/>
      <c r="H143" s="170"/>
      <c r="I143" s="19"/>
      <c r="J143" s="19"/>
      <c r="K143" s="171"/>
      <c r="L143" s="163"/>
      <c r="M143" s="15"/>
      <c r="N143" s="15"/>
      <c r="O143" s="15"/>
      <c r="P143" s="165"/>
      <c r="Q143" s="163"/>
      <c r="R143" s="15"/>
      <c r="S143" s="165"/>
      <c r="T143" s="166"/>
      <c r="U143" s="166"/>
      <c r="V143" s="16">
        <v>343.87</v>
      </c>
      <c r="W143" s="15" t="s">
        <v>499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67"/>
      <c r="AM143" s="15"/>
      <c r="AN143" s="24"/>
      <c r="AO143" s="24"/>
      <c r="AP143" s="24"/>
      <c r="AQ143" s="24"/>
      <c r="AR143" s="24"/>
      <c r="AS143" s="25"/>
      <c r="AT143" s="25"/>
      <c r="AU143" s="168"/>
      <c r="AV143" s="24"/>
      <c r="AW143" s="24"/>
      <c r="AX143" s="268"/>
      <c r="AY143" s="268"/>
      <c r="AZ143" s="24"/>
      <c r="BA143" s="168"/>
      <c r="BB143" s="24"/>
      <c r="BC143" s="24"/>
      <c r="BD143" s="24"/>
      <c r="BE143" s="24"/>
      <c r="BF143" s="24"/>
      <c r="BG143" s="24"/>
      <c r="BH143" s="16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69" t="s">
        <v>70</v>
      </c>
      <c r="D144" s="120">
        <v>10.468</v>
      </c>
      <c r="E144" s="120">
        <f>D144*4</f>
        <v>41.872</v>
      </c>
      <c r="F144" s="120">
        <f>E144*8</f>
        <v>334.976</v>
      </c>
      <c r="G144" s="120"/>
      <c r="H144" s="170"/>
      <c r="I144" s="19"/>
      <c r="J144" s="19"/>
      <c r="K144" s="171"/>
      <c r="L144" s="163">
        <v>4.351</v>
      </c>
      <c r="M144" s="15">
        <v>4.2219999999999995</v>
      </c>
      <c r="N144" s="15">
        <v>5.0000000000000001E-3</v>
      </c>
      <c r="O144" s="15">
        <v>0.32100000000000001</v>
      </c>
      <c r="P144" s="165">
        <f t="shared" si="54"/>
        <v>8.8990000000000009</v>
      </c>
      <c r="Q144" s="163">
        <v>0.36299999999999999</v>
      </c>
      <c r="R144" s="15">
        <v>6.0000000000000001E-3</v>
      </c>
      <c r="S144" s="165">
        <f t="shared" si="55"/>
        <v>0.36899999999999999</v>
      </c>
      <c r="T144" s="166" t="s">
        <v>31</v>
      </c>
      <c r="U144" s="166" t="s">
        <v>568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67"/>
      <c r="AM144" s="127" t="s">
        <v>20</v>
      </c>
      <c r="AN144" s="121" t="s">
        <v>546</v>
      </c>
      <c r="AO144" s="121" t="s">
        <v>21</v>
      </c>
      <c r="AP144" s="338">
        <f t="shared" ref="AP144:AQ144" si="59">AQ144-2</f>
        <v>45807</v>
      </c>
      <c r="AQ144" s="338">
        <f t="shared" si="59"/>
        <v>45809</v>
      </c>
      <c r="AR144" s="338">
        <f>AS144-1</f>
        <v>45811</v>
      </c>
      <c r="AS144" s="507">
        <v>45812</v>
      </c>
      <c r="AT144" s="25" t="s">
        <v>538</v>
      </c>
      <c r="AU144" s="173"/>
      <c r="AV144" s="127" t="s">
        <v>20</v>
      </c>
      <c r="AW144" s="15" t="s">
        <v>6</v>
      </c>
      <c r="AX144" s="268">
        <v>45814</v>
      </c>
      <c r="AY144" s="268">
        <f>AX144</f>
        <v>45814</v>
      </c>
      <c r="AZ144" s="24" t="str">
        <f>AT144</f>
        <v>Ram Singh-1</v>
      </c>
      <c r="BA144" s="168"/>
      <c r="BB144" s="127" t="s">
        <v>20</v>
      </c>
      <c r="BC144" s="121"/>
      <c r="BD144" s="121" t="s">
        <v>569</v>
      </c>
      <c r="BE144" s="269">
        <f>BF144-2</f>
        <v>45828</v>
      </c>
      <c r="BF144" s="269">
        <v>45830</v>
      </c>
      <c r="BG144" s="25" t="s">
        <v>505</v>
      </c>
      <c r="BH144" s="177"/>
      <c r="BI144" s="127" t="s">
        <v>20</v>
      </c>
      <c r="BJ144" s="121"/>
      <c r="BK144" s="121"/>
      <c r="BL144" s="25">
        <v>2144</v>
      </c>
      <c r="BM144" s="24"/>
      <c r="BN144" s="185" t="s">
        <v>551</v>
      </c>
    </row>
    <row r="145" spans="1:68" ht="14.25" customHeight="1">
      <c r="A145" s="15" t="s">
        <v>0</v>
      </c>
      <c r="B145" s="19"/>
      <c r="C145" s="169"/>
      <c r="D145" s="120"/>
      <c r="E145" s="120"/>
      <c r="F145" s="120"/>
      <c r="G145" s="120"/>
      <c r="H145" s="170"/>
      <c r="I145" s="19"/>
      <c r="J145" s="19"/>
      <c r="K145" s="171"/>
      <c r="L145" s="163"/>
      <c r="M145" s="15"/>
      <c r="N145" s="15"/>
      <c r="O145" s="15"/>
      <c r="P145" s="165"/>
      <c r="Q145" s="163"/>
      <c r="R145" s="15"/>
      <c r="S145" s="165"/>
      <c r="T145" s="166"/>
      <c r="U145" s="166"/>
      <c r="V145" s="16">
        <v>499.13</v>
      </c>
      <c r="W145" s="15" t="s">
        <v>499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67"/>
      <c r="AM145" s="15"/>
      <c r="AN145" s="24"/>
      <c r="AO145" s="24"/>
      <c r="AP145" s="24"/>
      <c r="AQ145" s="24"/>
      <c r="AR145" s="24"/>
      <c r="AS145" s="25"/>
      <c r="AT145" s="25"/>
      <c r="AU145" s="168"/>
      <c r="AV145" s="24"/>
      <c r="AW145" s="24"/>
      <c r="AX145" s="268"/>
      <c r="AY145" s="268"/>
      <c r="AZ145" s="24"/>
      <c r="BA145" s="168"/>
      <c r="BB145" s="24"/>
      <c r="BC145" s="24"/>
      <c r="BD145" s="24"/>
      <c r="BE145" s="24"/>
      <c r="BF145" s="24"/>
      <c r="BG145" s="24"/>
      <c r="BH145" s="16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69" t="s">
        <v>76</v>
      </c>
      <c r="D146" s="120">
        <v>7.71</v>
      </c>
      <c r="E146" s="120">
        <f>D146*4</f>
        <v>30.84</v>
      </c>
      <c r="F146" s="120">
        <f>E146*8</f>
        <v>246.72</v>
      </c>
      <c r="G146" s="120">
        <v>1</v>
      </c>
      <c r="H146" s="170">
        <v>5</v>
      </c>
      <c r="I146" s="19">
        <v>4</v>
      </c>
      <c r="J146" s="19"/>
      <c r="K146" s="171"/>
      <c r="L146" s="163">
        <v>3.452</v>
      </c>
      <c r="M146" s="15">
        <v>2.633</v>
      </c>
      <c r="N146" s="15">
        <v>4.0000000000000001E-3</v>
      </c>
      <c r="O146" s="15">
        <v>0.24099999999999999</v>
      </c>
      <c r="P146" s="165">
        <f t="shared" si="54"/>
        <v>6.3299999999999992</v>
      </c>
      <c r="Q146" s="163">
        <v>0.36299999999999999</v>
      </c>
      <c r="R146" s="15">
        <v>6.0000000000000001E-3</v>
      </c>
      <c r="S146" s="165">
        <f t="shared" si="55"/>
        <v>0.36899999999999999</v>
      </c>
      <c r="T146" s="166" t="s">
        <v>31</v>
      </c>
      <c r="U146" s="166" t="s">
        <v>568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67"/>
      <c r="AM146" s="127" t="s">
        <v>20</v>
      </c>
      <c r="AN146" s="121"/>
      <c r="AO146" s="121"/>
      <c r="AP146" s="338">
        <f t="shared" ref="AP146:AQ146" si="60">AQ146-2</f>
        <v>45972</v>
      </c>
      <c r="AQ146" s="338">
        <f t="shared" si="60"/>
        <v>45974</v>
      </c>
      <c r="AR146" s="338">
        <f>AS146-1</f>
        <v>45976</v>
      </c>
      <c r="AS146" s="507">
        <v>45977</v>
      </c>
      <c r="AT146" s="15" t="s">
        <v>552</v>
      </c>
      <c r="AU146" s="168"/>
      <c r="AV146" s="127" t="s">
        <v>20</v>
      </c>
      <c r="AW146" s="15" t="s">
        <v>6</v>
      </c>
      <c r="AX146" s="268"/>
      <c r="AY146" s="268"/>
      <c r="AZ146" s="24"/>
      <c r="BA146" s="168"/>
      <c r="BB146" s="127" t="s">
        <v>20</v>
      </c>
      <c r="BC146" s="121"/>
      <c r="BD146" s="121"/>
      <c r="BE146" s="269">
        <v>45990</v>
      </c>
      <c r="BF146" s="269">
        <v>45994</v>
      </c>
      <c r="BG146" s="15" t="s">
        <v>580</v>
      </c>
      <c r="BH146" s="167"/>
      <c r="BI146" s="15" t="s">
        <v>20</v>
      </c>
      <c r="BJ146" s="121"/>
      <c r="BK146" s="121"/>
      <c r="BL146" s="25">
        <v>1252</v>
      </c>
      <c r="BM146" s="24"/>
      <c r="BN146" s="181" t="s">
        <v>551</v>
      </c>
      <c r="BO146" s="182"/>
      <c r="BP146" s="130" t="s">
        <v>553</v>
      </c>
    </row>
    <row r="147" spans="1:68" ht="14.25" customHeight="1">
      <c r="A147" s="15" t="s">
        <v>0</v>
      </c>
      <c r="B147" s="19"/>
      <c r="C147" s="169"/>
      <c r="D147" s="120"/>
      <c r="E147" s="120"/>
      <c r="F147" s="120"/>
      <c r="G147" s="120"/>
      <c r="H147" s="170"/>
      <c r="I147" s="19"/>
      <c r="J147" s="19"/>
      <c r="K147" s="171"/>
      <c r="L147" s="163"/>
      <c r="M147" s="15"/>
      <c r="N147" s="15"/>
      <c r="O147" s="15"/>
      <c r="P147" s="165"/>
      <c r="Q147" s="163"/>
      <c r="R147" s="15"/>
      <c r="S147" s="165"/>
      <c r="T147" s="166"/>
      <c r="U147" s="166"/>
      <c r="V147" s="16">
        <v>434</v>
      </c>
      <c r="W147" s="15" t="s">
        <v>499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67"/>
      <c r="AM147" s="15"/>
      <c r="AN147" s="24"/>
      <c r="AO147" s="24"/>
      <c r="AP147" s="24"/>
      <c r="AQ147" s="24"/>
      <c r="AR147" s="24"/>
      <c r="AS147" s="25"/>
      <c r="AT147" s="25"/>
      <c r="AU147" s="168"/>
      <c r="AV147" s="24"/>
      <c r="AW147" s="24"/>
      <c r="AX147" s="268"/>
      <c r="AY147" s="268"/>
      <c r="AZ147" s="24"/>
      <c r="BA147" s="168"/>
      <c r="BB147" s="24"/>
      <c r="BC147" s="24"/>
      <c r="BD147" s="24"/>
      <c r="BE147" s="24"/>
      <c r="BF147" s="24"/>
      <c r="BG147" s="24"/>
      <c r="BH147" s="16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69" t="s">
        <v>70</v>
      </c>
      <c r="D148" s="120">
        <v>10.468</v>
      </c>
      <c r="E148" s="120">
        <f>D148*4</f>
        <v>41.872</v>
      </c>
      <c r="F148" s="120">
        <f>E148*8</f>
        <v>334.976</v>
      </c>
      <c r="G148" s="120"/>
      <c r="H148" s="170"/>
      <c r="I148" s="19"/>
      <c r="J148" s="19"/>
      <c r="K148" s="171"/>
      <c r="L148" s="163">
        <v>4.351</v>
      </c>
      <c r="M148" s="15">
        <v>4.2219999999999995</v>
      </c>
      <c r="N148" s="15">
        <v>5.0000000000000001E-3</v>
      </c>
      <c r="O148" s="15">
        <v>0.32100000000000001</v>
      </c>
      <c r="P148" s="165">
        <f t="shared" si="54"/>
        <v>8.8990000000000009</v>
      </c>
      <c r="Q148" s="163">
        <v>0.36299999999999999</v>
      </c>
      <c r="R148" s="15">
        <v>6.0000000000000001E-3</v>
      </c>
      <c r="S148" s="165">
        <f t="shared" si="55"/>
        <v>0.36899999999999999</v>
      </c>
      <c r="T148" s="166" t="s">
        <v>31</v>
      </c>
      <c r="U148" s="166" t="s">
        <v>568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67"/>
      <c r="AM148" s="127" t="s">
        <v>20</v>
      </c>
      <c r="AN148" s="121" t="s">
        <v>546</v>
      </c>
      <c r="AO148" s="121" t="s">
        <v>21</v>
      </c>
      <c r="AP148" s="338">
        <f>AQ148-1</f>
        <v>45798</v>
      </c>
      <c r="AQ148" s="338">
        <f t="shared" ref="AQ148:AR148" si="61">AR148-2</f>
        <v>45799</v>
      </c>
      <c r="AR148" s="338">
        <f t="shared" si="61"/>
        <v>45801</v>
      </c>
      <c r="AS148" s="507">
        <v>45803</v>
      </c>
      <c r="AT148" s="25" t="s">
        <v>538</v>
      </c>
      <c r="AU148" s="173"/>
      <c r="AV148" s="127" t="s">
        <v>20</v>
      </c>
      <c r="AW148" s="15" t="s">
        <v>6</v>
      </c>
      <c r="AX148" s="268">
        <v>45814</v>
      </c>
      <c r="AY148" s="268">
        <f>AX148</f>
        <v>45814</v>
      </c>
      <c r="AZ148" s="24" t="str">
        <f>AT148</f>
        <v>Ram Singh-1</v>
      </c>
      <c r="BA148" s="168"/>
      <c r="BB148" s="127" t="s">
        <v>20</v>
      </c>
      <c r="BC148" s="121"/>
      <c r="BD148" s="121" t="s">
        <v>569</v>
      </c>
      <c r="BE148" s="269">
        <f>BF148-2</f>
        <v>45828</v>
      </c>
      <c r="BF148" s="269">
        <v>45830</v>
      </c>
      <c r="BG148" s="17" t="s">
        <v>547</v>
      </c>
      <c r="BH148" s="177"/>
      <c r="BI148" s="127" t="s">
        <v>20</v>
      </c>
      <c r="BJ148" s="121">
        <v>46036</v>
      </c>
      <c r="BK148" s="121">
        <v>46036</v>
      </c>
      <c r="BL148" s="25">
        <v>2144</v>
      </c>
      <c r="BM148" s="24" t="s">
        <v>707</v>
      </c>
      <c r="BN148" s="185" t="s">
        <v>551</v>
      </c>
      <c r="BO148" s="182"/>
    </row>
    <row r="149" spans="1:68" ht="14.25" customHeight="1">
      <c r="A149" s="15" t="s">
        <v>0</v>
      </c>
      <c r="B149" s="19"/>
      <c r="C149" s="169"/>
      <c r="D149" s="120"/>
      <c r="E149" s="120"/>
      <c r="F149" s="120"/>
      <c r="G149" s="120"/>
      <c r="H149" s="170"/>
      <c r="I149" s="19"/>
      <c r="J149" s="19"/>
      <c r="K149" s="171"/>
      <c r="L149" s="163"/>
      <c r="M149" s="15"/>
      <c r="N149" s="15"/>
      <c r="O149" s="15"/>
      <c r="P149" s="165"/>
      <c r="Q149" s="163"/>
      <c r="R149" s="15"/>
      <c r="S149" s="165"/>
      <c r="T149" s="166"/>
      <c r="U149" s="166"/>
      <c r="V149" s="16">
        <v>295</v>
      </c>
      <c r="W149" s="15" t="s">
        <v>499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67"/>
      <c r="AM149" s="15"/>
      <c r="AN149" s="24"/>
      <c r="AO149" s="24"/>
      <c r="AP149" s="24"/>
      <c r="AQ149" s="24"/>
      <c r="AR149" s="24"/>
      <c r="AS149" s="25"/>
      <c r="AT149" s="25"/>
      <c r="AU149" s="168"/>
      <c r="AV149" s="24"/>
      <c r="AW149" s="24"/>
      <c r="AX149" s="268"/>
      <c r="AY149" s="268"/>
      <c r="AZ149" s="24"/>
      <c r="BA149" s="168"/>
      <c r="BB149" s="24"/>
      <c r="BC149" s="24"/>
      <c r="BD149" s="24"/>
      <c r="BE149" s="24"/>
      <c r="BF149" s="24"/>
      <c r="BG149" s="24"/>
      <c r="BH149" s="16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69" t="s">
        <v>42</v>
      </c>
      <c r="D150" s="120">
        <v>6.3620000000000001</v>
      </c>
      <c r="E150" s="120">
        <f>D150*4</f>
        <v>25.448</v>
      </c>
      <c r="F150" s="120">
        <f>E150*8</f>
        <v>203.584</v>
      </c>
      <c r="G150" s="120"/>
      <c r="H150" s="170"/>
      <c r="I150" s="19"/>
      <c r="J150" s="19"/>
      <c r="K150" s="171"/>
      <c r="L150" s="163">
        <v>2.25</v>
      </c>
      <c r="M150" s="15">
        <v>2.1880000000000002</v>
      </c>
      <c r="N150" s="15">
        <v>2E-3</v>
      </c>
      <c r="O150" s="15">
        <v>0.183</v>
      </c>
      <c r="P150" s="165">
        <f t="shared" si="54"/>
        <v>4.6230000000000002</v>
      </c>
      <c r="Q150" s="163">
        <v>0.24399999999999999</v>
      </c>
      <c r="R150" s="15">
        <v>5.0000000000000001E-3</v>
      </c>
      <c r="S150" s="165">
        <f t="shared" si="55"/>
        <v>0.249</v>
      </c>
      <c r="T150" s="166" t="s">
        <v>31</v>
      </c>
      <c r="U150" s="166" t="s">
        <v>568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67"/>
      <c r="AM150" s="127" t="s">
        <v>20</v>
      </c>
      <c r="AN150" s="121" t="s">
        <v>546</v>
      </c>
      <c r="AO150" s="121" t="s">
        <v>21</v>
      </c>
      <c r="AP150" s="338">
        <f t="shared" ref="AP150:AR150" si="62">AQ150-2</f>
        <v>45800</v>
      </c>
      <c r="AQ150" s="338">
        <f t="shared" si="62"/>
        <v>45802</v>
      </c>
      <c r="AR150" s="338">
        <f t="shared" si="62"/>
        <v>45804</v>
      </c>
      <c r="AS150" s="507">
        <v>45806</v>
      </c>
      <c r="AT150" s="25" t="s">
        <v>538</v>
      </c>
      <c r="AU150" s="173"/>
      <c r="AV150" s="127" t="s">
        <v>20</v>
      </c>
      <c r="AW150" s="15" t="s">
        <v>6</v>
      </c>
      <c r="AX150" s="268">
        <v>45814</v>
      </c>
      <c r="AY150" s="268">
        <f>AX150</f>
        <v>45814</v>
      </c>
      <c r="AZ150" s="24" t="str">
        <f>AT150</f>
        <v>Ram Singh-1</v>
      </c>
      <c r="BA150" s="168"/>
      <c r="BB150" s="127" t="s">
        <v>20</v>
      </c>
      <c r="BC150" s="121"/>
      <c r="BD150" s="121" t="s">
        <v>569</v>
      </c>
      <c r="BE150" s="269">
        <f>BF150-2</f>
        <v>45825</v>
      </c>
      <c r="BF150" s="269">
        <v>45827</v>
      </c>
      <c r="BG150" s="17" t="s">
        <v>547</v>
      </c>
      <c r="BH150" s="167"/>
      <c r="BI150" s="127" t="s">
        <v>20</v>
      </c>
      <c r="BJ150" s="121"/>
      <c r="BK150" s="12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69"/>
      <c r="D151" s="120"/>
      <c r="E151" s="120"/>
      <c r="F151" s="120"/>
      <c r="G151" s="120"/>
      <c r="H151" s="170"/>
      <c r="I151" s="19"/>
      <c r="J151" s="19"/>
      <c r="K151" s="171"/>
      <c r="L151" s="163"/>
      <c r="M151" s="15"/>
      <c r="N151" s="15"/>
      <c r="O151" s="15"/>
      <c r="P151" s="165"/>
      <c r="Q151" s="163"/>
      <c r="R151" s="15"/>
      <c r="S151" s="165"/>
      <c r="T151" s="166"/>
      <c r="U151" s="166"/>
      <c r="V151" s="16">
        <v>326</v>
      </c>
      <c r="W151" s="15" t="s">
        <v>499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67"/>
      <c r="AM151" s="15"/>
      <c r="AN151" s="24"/>
      <c r="AO151" s="24"/>
      <c r="AP151" s="24"/>
      <c r="AQ151" s="24"/>
      <c r="AR151" s="24"/>
      <c r="AS151" s="25"/>
      <c r="AT151" s="25"/>
      <c r="AU151" s="168"/>
      <c r="AV151" s="24"/>
      <c r="AW151" s="24"/>
      <c r="AX151" s="268"/>
      <c r="AY151" s="268"/>
      <c r="AZ151" s="24"/>
      <c r="BA151" s="168"/>
      <c r="BB151" s="24"/>
      <c r="BC151" s="24"/>
      <c r="BD151" s="24"/>
      <c r="BE151" s="24"/>
      <c r="BF151" s="24"/>
      <c r="BG151" s="24"/>
      <c r="BH151" s="16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69" t="s">
        <v>56</v>
      </c>
      <c r="D152" s="120">
        <v>7.6219999999999999</v>
      </c>
      <c r="E152" s="120">
        <f>D152*4</f>
        <v>30.488</v>
      </c>
      <c r="F152" s="120">
        <f>E152*8</f>
        <v>243.904</v>
      </c>
      <c r="G152" s="120"/>
      <c r="H152" s="170"/>
      <c r="I152" s="19"/>
      <c r="J152" s="19"/>
      <c r="K152" s="171"/>
      <c r="L152" s="163">
        <v>2.6789999999999998</v>
      </c>
      <c r="M152" s="15">
        <v>3.133</v>
      </c>
      <c r="N152" s="15">
        <v>2.5000000000000001E-3</v>
      </c>
      <c r="O152" s="15">
        <v>0.23299999999999998</v>
      </c>
      <c r="P152" s="165">
        <f t="shared" si="54"/>
        <v>6.0474999999999994</v>
      </c>
      <c r="Q152" s="163">
        <v>0.24399999999999999</v>
      </c>
      <c r="R152" s="15">
        <v>5.0000000000000001E-3</v>
      </c>
      <c r="S152" s="165">
        <f t="shared" si="55"/>
        <v>0.249</v>
      </c>
      <c r="T152" s="166" t="s">
        <v>31</v>
      </c>
      <c r="U152" s="166" t="s">
        <v>568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67"/>
      <c r="AM152" s="127" t="s">
        <v>20</v>
      </c>
      <c r="AN152" s="121" t="s">
        <v>546</v>
      </c>
      <c r="AO152" s="121" t="s">
        <v>21</v>
      </c>
      <c r="AP152" s="338">
        <f>AQ152-1</f>
        <v>45797</v>
      </c>
      <c r="AQ152" s="338">
        <f t="shared" ref="AQ152:AR152" si="63">AR152-2</f>
        <v>45798</v>
      </c>
      <c r="AR152" s="338">
        <f t="shared" si="63"/>
        <v>45800</v>
      </c>
      <c r="AS152" s="507">
        <v>45802</v>
      </c>
      <c r="AT152" s="25" t="s">
        <v>538</v>
      </c>
      <c r="AU152" s="173"/>
      <c r="AV152" s="127" t="s">
        <v>20</v>
      </c>
      <c r="AW152" s="15" t="s">
        <v>6</v>
      </c>
      <c r="AX152" s="268">
        <v>45814</v>
      </c>
      <c r="AY152" s="268">
        <f>AX152</f>
        <v>45814</v>
      </c>
      <c r="AZ152" s="24" t="str">
        <f>AT152</f>
        <v>Ram Singh-1</v>
      </c>
      <c r="BA152" s="168"/>
      <c r="BB152" s="127" t="s">
        <v>20</v>
      </c>
      <c r="BC152" s="121"/>
      <c r="BD152" s="121" t="s">
        <v>569</v>
      </c>
      <c r="BE152" s="269">
        <f>BF152-1</f>
        <v>45821</v>
      </c>
      <c r="BF152" s="269">
        <v>45822</v>
      </c>
      <c r="BG152" s="17" t="s">
        <v>547</v>
      </c>
      <c r="BH152" s="167"/>
      <c r="BI152" s="127" t="s">
        <v>20</v>
      </c>
      <c r="BJ152" s="121"/>
      <c r="BK152" s="121"/>
      <c r="BL152" s="25">
        <v>1545</v>
      </c>
      <c r="BM152" s="24"/>
      <c r="BN152" s="15"/>
      <c r="BO152" s="15"/>
    </row>
    <row r="153" spans="1:68" ht="14.1" customHeight="1">
      <c r="A153" s="15" t="s">
        <v>0</v>
      </c>
      <c r="B153" s="19"/>
      <c r="C153" s="169"/>
      <c r="D153" s="120"/>
      <c r="E153" s="120"/>
      <c r="F153" s="120"/>
      <c r="G153" s="120"/>
      <c r="H153" s="170"/>
      <c r="I153" s="19"/>
      <c r="J153" s="19"/>
      <c r="K153" s="171"/>
      <c r="L153" s="163"/>
      <c r="M153" s="15"/>
      <c r="N153" s="15"/>
      <c r="O153" s="15"/>
      <c r="P153" s="165"/>
      <c r="Q153" s="163"/>
      <c r="R153" s="15"/>
      <c r="S153" s="165"/>
      <c r="T153" s="166"/>
      <c r="U153" s="166"/>
      <c r="V153" s="16">
        <v>298</v>
      </c>
      <c r="W153" s="15" t="s">
        <v>499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67"/>
      <c r="AM153" s="15"/>
      <c r="AN153" s="24"/>
      <c r="AO153" s="24"/>
      <c r="AP153" s="24"/>
      <c r="AQ153" s="24"/>
      <c r="AR153" s="24"/>
      <c r="AS153" s="25"/>
      <c r="AT153" s="25"/>
      <c r="AU153" s="168"/>
      <c r="AV153" s="24"/>
      <c r="AW153" s="24"/>
      <c r="AX153" s="268"/>
      <c r="AY153" s="268"/>
      <c r="AZ153" s="24"/>
      <c r="BA153" s="168"/>
      <c r="BB153" s="24"/>
      <c r="BC153" s="24"/>
      <c r="BD153" s="24"/>
      <c r="BE153" s="24"/>
      <c r="BF153" s="24"/>
      <c r="BG153" s="24"/>
      <c r="BH153" s="16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69" t="s">
        <v>89</v>
      </c>
      <c r="D154" s="120">
        <v>8.6300000000000008</v>
      </c>
      <c r="E154" s="120">
        <f>D154*4</f>
        <v>34.520000000000003</v>
      </c>
      <c r="F154" s="120">
        <f>E154*8</f>
        <v>276.16000000000003</v>
      </c>
      <c r="G154" s="120"/>
      <c r="H154" s="170"/>
      <c r="I154" s="19"/>
      <c r="J154" s="19"/>
      <c r="K154" s="171"/>
      <c r="L154" s="163">
        <v>3.867</v>
      </c>
      <c r="M154" s="15">
        <v>3.306</v>
      </c>
      <c r="N154" s="15">
        <v>5.0000000000000001E-3</v>
      </c>
      <c r="O154" s="15">
        <v>0.27600000000000002</v>
      </c>
      <c r="P154" s="165">
        <f t="shared" si="54"/>
        <v>7.4539999999999997</v>
      </c>
      <c r="Q154" s="163">
        <v>0.36299999999999999</v>
      </c>
      <c r="R154" s="15">
        <v>6.0000000000000001E-3</v>
      </c>
      <c r="S154" s="165">
        <f t="shared" si="55"/>
        <v>0.36899999999999999</v>
      </c>
      <c r="T154" s="166" t="s">
        <v>31</v>
      </c>
      <c r="U154" s="166" t="s">
        <v>568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67"/>
      <c r="AM154" s="127" t="s">
        <v>20</v>
      </c>
      <c r="AN154" s="121" t="s">
        <v>546</v>
      </c>
      <c r="AO154" s="121" t="s">
        <v>21</v>
      </c>
      <c r="AP154" s="338">
        <f>AQ154-1</f>
        <v>45802</v>
      </c>
      <c r="AQ154" s="338">
        <f t="shared" ref="AQ154:AR154" si="64">AR154-2</f>
        <v>45803</v>
      </c>
      <c r="AR154" s="338">
        <f t="shared" si="64"/>
        <v>45805</v>
      </c>
      <c r="AS154" s="507">
        <v>45807</v>
      </c>
      <c r="AT154" s="25" t="s">
        <v>538</v>
      </c>
      <c r="AU154" s="173"/>
      <c r="AV154" s="127" t="s">
        <v>20</v>
      </c>
      <c r="AW154" s="15" t="s">
        <v>6</v>
      </c>
      <c r="AX154" s="268">
        <v>45814</v>
      </c>
      <c r="AY154" s="268">
        <f>AX154</f>
        <v>45814</v>
      </c>
      <c r="AZ154" s="24" t="str">
        <f>AT154</f>
        <v>Ram Singh-1</v>
      </c>
      <c r="BA154" s="168"/>
      <c r="BB154" s="127" t="s">
        <v>20</v>
      </c>
      <c r="BC154" s="121"/>
      <c r="BD154" s="121" t="s">
        <v>569</v>
      </c>
      <c r="BE154" s="269">
        <f>BF154-2</f>
        <v>45823</v>
      </c>
      <c r="BF154" s="269">
        <v>45825</v>
      </c>
      <c r="BG154" s="17" t="s">
        <v>547</v>
      </c>
      <c r="BH154" s="178"/>
      <c r="BI154" s="127" t="s">
        <v>20</v>
      </c>
      <c r="BJ154" s="17">
        <v>46037</v>
      </c>
      <c r="BK154" s="17">
        <v>46037</v>
      </c>
      <c r="BL154" s="25">
        <v>1560</v>
      </c>
      <c r="BM154" s="24" t="s">
        <v>707</v>
      </c>
      <c r="BN154" s="185" t="s">
        <v>551</v>
      </c>
      <c r="BO154" s="182"/>
    </row>
    <row r="155" spans="1:68" ht="14.25" customHeight="1">
      <c r="A155" s="15" t="s">
        <v>0</v>
      </c>
      <c r="B155" s="19"/>
      <c r="C155" s="169"/>
      <c r="D155" s="120"/>
      <c r="E155" s="120"/>
      <c r="F155" s="120"/>
      <c r="G155" s="120"/>
      <c r="H155" s="170"/>
      <c r="I155" s="19"/>
      <c r="J155" s="19"/>
      <c r="K155" s="171"/>
      <c r="L155" s="163"/>
      <c r="M155" s="15"/>
      <c r="N155" s="15"/>
      <c r="O155" s="15"/>
      <c r="P155" s="165"/>
      <c r="Q155" s="163"/>
      <c r="R155" s="15"/>
      <c r="S155" s="165"/>
      <c r="T155" s="166"/>
      <c r="U155" s="166"/>
      <c r="V155" s="16">
        <v>489</v>
      </c>
      <c r="W155" s="15" t="s">
        <v>499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67"/>
      <c r="AM155" s="15"/>
      <c r="AN155" s="24"/>
      <c r="AO155" s="24"/>
      <c r="AP155" s="24"/>
      <c r="AQ155" s="24"/>
      <c r="AR155" s="24"/>
      <c r="AS155" s="25"/>
      <c r="AT155" s="25"/>
      <c r="AU155" s="168"/>
      <c r="AV155" s="24"/>
      <c r="AW155" s="24"/>
      <c r="AX155" s="268"/>
      <c r="AY155" s="268"/>
      <c r="AZ155" s="24"/>
      <c r="BA155" s="168"/>
      <c r="BB155" s="24"/>
      <c r="BC155" s="24"/>
      <c r="BD155" s="24"/>
      <c r="BE155" s="24"/>
      <c r="BF155" s="24"/>
      <c r="BG155" s="24"/>
      <c r="BH155" s="16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69" t="s">
        <v>89</v>
      </c>
      <c r="D156" s="120">
        <v>8.6300000000000008</v>
      </c>
      <c r="E156" s="120">
        <f>D156*4</f>
        <v>34.520000000000003</v>
      </c>
      <c r="F156" s="120">
        <f>E156*8</f>
        <v>276.16000000000003</v>
      </c>
      <c r="G156" s="120"/>
      <c r="H156" s="170"/>
      <c r="I156" s="19"/>
      <c r="J156" s="19"/>
      <c r="K156" s="171"/>
      <c r="L156" s="163">
        <v>3.867</v>
      </c>
      <c r="M156" s="15">
        <v>3.306</v>
      </c>
      <c r="N156" s="15">
        <v>5.0000000000000001E-3</v>
      </c>
      <c r="O156" s="15">
        <v>0.27600000000000002</v>
      </c>
      <c r="P156" s="165">
        <f t="shared" si="54"/>
        <v>7.4539999999999997</v>
      </c>
      <c r="Q156" s="163">
        <v>0.36299999999999999</v>
      </c>
      <c r="R156" s="15">
        <v>6.0000000000000001E-3</v>
      </c>
      <c r="S156" s="165">
        <f t="shared" si="55"/>
        <v>0.36899999999999999</v>
      </c>
      <c r="T156" s="166" t="s">
        <v>31</v>
      </c>
      <c r="U156" s="166" t="s">
        <v>568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67"/>
      <c r="AM156" s="127" t="s">
        <v>20</v>
      </c>
      <c r="AN156" s="121"/>
      <c r="AO156" s="121"/>
      <c r="AP156" s="338">
        <f t="shared" ref="AP156:AR156" si="66">AQ156-2</f>
        <v>45798</v>
      </c>
      <c r="AQ156" s="338">
        <f t="shared" si="66"/>
        <v>45800</v>
      </c>
      <c r="AR156" s="338">
        <f t="shared" si="66"/>
        <v>45802</v>
      </c>
      <c r="AS156" s="507">
        <v>45804</v>
      </c>
      <c r="AT156" s="25" t="s">
        <v>571</v>
      </c>
      <c r="AU156" s="173"/>
      <c r="AV156" s="127" t="s">
        <v>20</v>
      </c>
      <c r="AW156" s="15" t="s">
        <v>6</v>
      </c>
      <c r="AX156" s="268">
        <v>45814</v>
      </c>
      <c r="AY156" s="268">
        <f>AX156</f>
        <v>45814</v>
      </c>
      <c r="AZ156" s="24" t="str">
        <f>AT156</f>
        <v>Viki Enterprice</v>
      </c>
      <c r="BA156" s="168"/>
      <c r="BB156" s="127" t="s">
        <v>20</v>
      </c>
      <c r="BC156" s="121"/>
      <c r="BD156" s="121" t="s">
        <v>569</v>
      </c>
      <c r="BE156" s="269">
        <f>BF156-2</f>
        <v>45844</v>
      </c>
      <c r="BF156" s="269">
        <v>45846</v>
      </c>
      <c r="BG156" s="17" t="s">
        <v>547</v>
      </c>
      <c r="BH156" s="178"/>
      <c r="BI156" s="127" t="s">
        <v>20</v>
      </c>
      <c r="BJ156" s="17"/>
      <c r="BK156" s="17"/>
      <c r="BL156" s="25">
        <v>1560</v>
      </c>
      <c r="BM156" s="24"/>
      <c r="BN156" s="185" t="s">
        <v>551</v>
      </c>
      <c r="BO156" s="182"/>
      <c r="BP156" s="130" t="s">
        <v>553</v>
      </c>
    </row>
    <row r="157" spans="1:68" ht="14.25" customHeight="1">
      <c r="A157" s="15" t="s">
        <v>0</v>
      </c>
      <c r="B157" s="19"/>
      <c r="C157" s="169"/>
      <c r="D157" s="120"/>
      <c r="E157" s="120"/>
      <c r="F157" s="120"/>
      <c r="G157" s="120"/>
      <c r="H157" s="170"/>
      <c r="I157" s="19"/>
      <c r="J157" s="19"/>
      <c r="K157" s="171"/>
      <c r="L157" s="163"/>
      <c r="M157" s="15"/>
      <c r="N157" s="15"/>
      <c r="O157" s="15"/>
      <c r="P157" s="165"/>
      <c r="Q157" s="163"/>
      <c r="R157" s="15"/>
      <c r="S157" s="165"/>
      <c r="T157" s="166"/>
      <c r="U157" s="166"/>
      <c r="V157" s="16">
        <v>382.48</v>
      </c>
      <c r="W157" s="15" t="s">
        <v>499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67"/>
      <c r="AM157" s="15"/>
      <c r="AN157" s="24"/>
      <c r="AO157" s="24"/>
      <c r="AP157" s="24"/>
      <c r="AQ157" s="24"/>
      <c r="AR157" s="24"/>
      <c r="AS157" s="25"/>
      <c r="AT157" s="25"/>
      <c r="AU157" s="168"/>
      <c r="AV157" s="24"/>
      <c r="AW157" s="24"/>
      <c r="AX157" s="268"/>
      <c r="AY157" s="268"/>
      <c r="AZ157" s="24"/>
      <c r="BA157" s="168"/>
      <c r="BB157" s="24"/>
      <c r="BC157" s="24"/>
      <c r="BD157" s="24"/>
      <c r="BE157" s="24"/>
      <c r="BF157" s="24"/>
      <c r="BG157" s="24"/>
      <c r="BH157" s="16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69" t="s">
        <v>46</v>
      </c>
      <c r="D158" s="120">
        <v>8.6259999999999994</v>
      </c>
      <c r="E158" s="120">
        <f>D158*4</f>
        <v>34.503999999999998</v>
      </c>
      <c r="F158" s="120">
        <f>E158*8</f>
        <v>276.03199999999998</v>
      </c>
      <c r="G158" s="120"/>
      <c r="H158" s="170"/>
      <c r="I158" s="19"/>
      <c r="J158" s="19"/>
      <c r="K158" s="171"/>
      <c r="L158" s="16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65">
        <f t="shared" si="54"/>
        <v>8.2024000000000008</v>
      </c>
      <c r="Q158" s="163">
        <v>0.436</v>
      </c>
      <c r="R158" s="15">
        <v>0.01</v>
      </c>
      <c r="S158" s="165">
        <f t="shared" si="55"/>
        <v>0.44600000000000001</v>
      </c>
      <c r="T158" s="166" t="s">
        <v>143</v>
      </c>
      <c r="U158" s="166" t="s">
        <v>568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67"/>
      <c r="AM158" s="127" t="s">
        <v>20</v>
      </c>
      <c r="AN158" s="121" t="s">
        <v>546</v>
      </c>
      <c r="AO158" s="121" t="s">
        <v>21</v>
      </c>
      <c r="AP158" s="338">
        <f>AQ158-1</f>
        <v>45790</v>
      </c>
      <c r="AQ158" s="338">
        <f t="shared" ref="AQ158:AR158" si="67">AR158-2</f>
        <v>45791</v>
      </c>
      <c r="AR158" s="338">
        <f t="shared" si="67"/>
        <v>45793</v>
      </c>
      <c r="AS158" s="507">
        <v>45795</v>
      </c>
      <c r="AT158" s="25" t="s">
        <v>571</v>
      </c>
      <c r="AU158" s="173"/>
      <c r="AV158" s="127" t="s">
        <v>20</v>
      </c>
      <c r="AW158" s="15" t="s">
        <v>6</v>
      </c>
      <c r="AX158" s="268">
        <v>45814</v>
      </c>
      <c r="AY158" s="268">
        <f>AX158</f>
        <v>45814</v>
      </c>
      <c r="AZ158" s="24" t="str">
        <f>AT158</f>
        <v>Viki Enterprice</v>
      </c>
      <c r="BA158" s="168"/>
      <c r="BB158" s="127" t="s">
        <v>20</v>
      </c>
      <c r="BC158" s="121"/>
      <c r="BD158" s="121" t="s">
        <v>569</v>
      </c>
      <c r="BE158" s="269">
        <f>BF158-2</f>
        <v>45840</v>
      </c>
      <c r="BF158" s="269">
        <v>45842</v>
      </c>
      <c r="BG158" s="17" t="s">
        <v>547</v>
      </c>
      <c r="BH158" s="167"/>
      <c r="BI158" s="127" t="s">
        <v>20</v>
      </c>
      <c r="BJ158" s="17"/>
      <c r="BK158" s="17"/>
      <c r="BL158" s="25">
        <v>1433</v>
      </c>
      <c r="BM158" s="175" t="s">
        <v>540</v>
      </c>
      <c r="BN158" s="24"/>
      <c r="BO158" s="24"/>
    </row>
    <row r="159" spans="1:68" ht="14.25" customHeight="1">
      <c r="A159" s="15" t="s">
        <v>0</v>
      </c>
      <c r="B159" s="19"/>
      <c r="C159" s="169"/>
      <c r="D159" s="120"/>
      <c r="E159" s="120"/>
      <c r="F159" s="120"/>
      <c r="G159" s="120"/>
      <c r="H159" s="170"/>
      <c r="I159" s="19"/>
      <c r="J159" s="19"/>
      <c r="K159" s="171"/>
      <c r="L159" s="163"/>
      <c r="M159" s="15"/>
      <c r="N159" s="15"/>
      <c r="O159" s="15"/>
      <c r="P159" s="165"/>
      <c r="Q159" s="163"/>
      <c r="R159" s="15"/>
      <c r="S159" s="165"/>
      <c r="T159" s="188"/>
      <c r="U159" s="188"/>
      <c r="V159" s="15">
        <v>372.4</v>
      </c>
      <c r="W159" s="15" t="s">
        <v>499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67"/>
      <c r="AM159" s="15"/>
      <c r="AN159" s="24"/>
      <c r="AO159" s="24"/>
      <c r="AP159" s="24"/>
      <c r="AQ159" s="24"/>
      <c r="AR159" s="24"/>
      <c r="AS159" s="25"/>
      <c r="AT159" s="25"/>
      <c r="AU159" s="168"/>
      <c r="AV159" s="24"/>
      <c r="AW159" s="24"/>
      <c r="AX159" s="268"/>
      <c r="AY159" s="268"/>
      <c r="AZ159" s="24"/>
      <c r="BA159" s="168"/>
      <c r="BB159" s="24"/>
      <c r="BC159" s="24"/>
      <c r="BD159" s="24"/>
      <c r="BE159" s="24"/>
      <c r="BF159" s="24"/>
      <c r="BG159" s="24"/>
      <c r="BH159" s="16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69" t="s">
        <v>42</v>
      </c>
      <c r="D160" s="120">
        <v>6.3620000000000001</v>
      </c>
      <c r="E160" s="120">
        <f>D160*4</f>
        <v>25.448</v>
      </c>
      <c r="F160" s="120">
        <f>E160*8</f>
        <v>203.584</v>
      </c>
      <c r="G160" s="120"/>
      <c r="H160" s="170"/>
      <c r="I160" s="19"/>
      <c r="J160" s="19"/>
      <c r="K160" s="171"/>
      <c r="L160" s="163">
        <v>2.25</v>
      </c>
      <c r="M160" s="15">
        <v>2.1880000000000002</v>
      </c>
      <c r="N160" s="15">
        <v>2E-3</v>
      </c>
      <c r="O160" s="15">
        <v>0.183</v>
      </c>
      <c r="P160" s="165">
        <f t="shared" si="54"/>
        <v>4.6230000000000002</v>
      </c>
      <c r="Q160" s="163">
        <v>0.24399999999999999</v>
      </c>
      <c r="R160" s="15">
        <v>5.0000000000000001E-3</v>
      </c>
      <c r="S160" s="165">
        <f t="shared" si="55"/>
        <v>0.249</v>
      </c>
      <c r="T160" s="188" t="s">
        <v>31</v>
      </c>
      <c r="U160" s="166" t="s">
        <v>568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67"/>
      <c r="AM160" s="127" t="s">
        <v>20</v>
      </c>
      <c r="AN160" s="121" t="s">
        <v>546</v>
      </c>
      <c r="AO160" s="121" t="s">
        <v>21</v>
      </c>
      <c r="AP160" s="338">
        <f t="shared" ref="AP160:AS160" si="68">AP158-1</f>
        <v>45789</v>
      </c>
      <c r="AQ160" s="338">
        <f t="shared" si="68"/>
        <v>45790</v>
      </c>
      <c r="AR160" s="338">
        <f t="shared" si="68"/>
        <v>45792</v>
      </c>
      <c r="AS160" s="507">
        <f t="shared" si="68"/>
        <v>45794</v>
      </c>
      <c r="AT160" s="25" t="s">
        <v>571</v>
      </c>
      <c r="AU160" s="173"/>
      <c r="AV160" s="127" t="s">
        <v>20</v>
      </c>
      <c r="AW160" s="15" t="s">
        <v>6</v>
      </c>
      <c r="AX160" s="268">
        <v>45805</v>
      </c>
      <c r="AY160" s="268">
        <v>45805</v>
      </c>
      <c r="AZ160" s="24" t="str">
        <f>AT160</f>
        <v>Viki Enterprice</v>
      </c>
      <c r="BA160" s="168"/>
      <c r="BB160" s="127" t="s">
        <v>20</v>
      </c>
      <c r="BC160" s="121"/>
      <c r="BD160" s="121" t="s">
        <v>569</v>
      </c>
      <c r="BE160" s="269">
        <f>BF160-2</f>
        <v>45842</v>
      </c>
      <c r="BF160" s="269">
        <v>45844</v>
      </c>
      <c r="BG160" s="17" t="s">
        <v>547</v>
      </c>
      <c r="BH160" s="167"/>
      <c r="BI160" s="127" t="s">
        <v>20</v>
      </c>
      <c r="BJ160" s="17"/>
      <c r="BK160" s="17"/>
      <c r="BL160" s="25">
        <v>980</v>
      </c>
      <c r="BM160" s="175" t="s">
        <v>540</v>
      </c>
      <c r="BN160" s="24"/>
      <c r="BO160" s="24"/>
    </row>
    <row r="161" spans="1:66" ht="14.25" customHeight="1">
      <c r="A161" s="15" t="s">
        <v>0</v>
      </c>
      <c r="B161" s="19"/>
      <c r="C161" s="169"/>
      <c r="D161" s="120"/>
      <c r="E161" s="120"/>
      <c r="F161" s="120"/>
      <c r="G161" s="120"/>
      <c r="H161" s="170"/>
      <c r="I161" s="19"/>
      <c r="J161" s="19"/>
      <c r="K161" s="171"/>
      <c r="L161" s="163"/>
      <c r="M161" s="15"/>
      <c r="N161" s="15"/>
      <c r="O161" s="15"/>
      <c r="P161" s="165"/>
      <c r="Q161" s="163"/>
      <c r="R161" s="15"/>
      <c r="S161" s="165"/>
      <c r="T161" s="188"/>
      <c r="U161" s="188"/>
      <c r="V161" s="15">
        <v>350.02</v>
      </c>
      <c r="W161" s="15" t="s">
        <v>499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67"/>
      <c r="AM161" s="15"/>
      <c r="AN161" s="24"/>
      <c r="AO161" s="24"/>
      <c r="AP161" s="24"/>
      <c r="AQ161" s="24"/>
      <c r="AR161" s="24"/>
      <c r="AS161" s="25"/>
      <c r="AT161" s="25"/>
      <c r="AU161" s="168"/>
      <c r="AV161" s="24"/>
      <c r="AW161" s="24"/>
      <c r="AX161" s="268"/>
      <c r="AY161" s="268"/>
      <c r="AZ161" s="24"/>
      <c r="BA161" s="168"/>
      <c r="BB161" s="24"/>
      <c r="BC161" s="24"/>
      <c r="BD161" s="24"/>
      <c r="BE161" s="24"/>
      <c r="BF161" s="24"/>
      <c r="BG161" s="24"/>
      <c r="BH161" s="16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69" t="s">
        <v>37</v>
      </c>
      <c r="D162" s="120">
        <v>6.992</v>
      </c>
      <c r="E162" s="120">
        <f>D162*4</f>
        <v>27.968</v>
      </c>
      <c r="F162" s="120">
        <f>E162*8</f>
        <v>223.744</v>
      </c>
      <c r="G162" s="120"/>
      <c r="H162" s="170"/>
      <c r="I162" s="19"/>
      <c r="J162" s="19"/>
      <c r="K162" s="171"/>
      <c r="L162" s="163">
        <v>2.6070000000000002</v>
      </c>
      <c r="M162" s="15">
        <v>2.657</v>
      </c>
      <c r="N162" s="15">
        <v>2E-3</v>
      </c>
      <c r="O162" s="15">
        <v>0.21299999999999999</v>
      </c>
      <c r="P162" s="165">
        <f t="shared" si="54"/>
        <v>5.4790000000000001</v>
      </c>
      <c r="Q162" s="163">
        <v>0.24399999999999999</v>
      </c>
      <c r="R162" s="15">
        <v>5.0000000000000001E-3</v>
      </c>
      <c r="S162" s="165">
        <f t="shared" si="55"/>
        <v>0.249</v>
      </c>
      <c r="T162" s="188" t="s">
        <v>31</v>
      </c>
      <c r="U162" s="166" t="s">
        <v>568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67"/>
      <c r="AM162" s="127" t="s">
        <v>20</v>
      </c>
      <c r="AN162" s="121" t="s">
        <v>546</v>
      </c>
      <c r="AO162" s="121" t="s">
        <v>21</v>
      </c>
      <c r="AP162" s="338">
        <f t="shared" ref="AP162:AR162" si="69">AQ162-2</f>
        <v>45793</v>
      </c>
      <c r="AQ162" s="338">
        <f t="shared" si="69"/>
        <v>45795</v>
      </c>
      <c r="AR162" s="338">
        <f t="shared" si="69"/>
        <v>45797</v>
      </c>
      <c r="AS162" s="507">
        <v>45799</v>
      </c>
      <c r="AT162" s="25" t="s">
        <v>572</v>
      </c>
      <c r="AU162" s="173"/>
      <c r="AV162" s="127" t="s">
        <v>20</v>
      </c>
      <c r="AW162" s="15" t="s">
        <v>6</v>
      </c>
      <c r="AX162" s="268">
        <v>45814</v>
      </c>
      <c r="AY162" s="268">
        <f>AX162</f>
        <v>45814</v>
      </c>
      <c r="AZ162" s="24" t="str">
        <f>AT162</f>
        <v>Shree Shyam Cont</v>
      </c>
      <c r="BA162" s="168"/>
      <c r="BB162" s="127" t="s">
        <v>20</v>
      </c>
      <c r="BC162" s="121"/>
      <c r="BD162" s="121" t="s">
        <v>569</v>
      </c>
      <c r="BE162" s="269">
        <f>BF162-2</f>
        <v>45839</v>
      </c>
      <c r="BF162" s="269">
        <v>45841</v>
      </c>
      <c r="BG162" s="25" t="s">
        <v>505</v>
      </c>
      <c r="BH162" s="167"/>
      <c r="BI162" s="127" t="s">
        <v>20</v>
      </c>
      <c r="BJ162" s="17"/>
      <c r="BK162" s="17"/>
      <c r="BL162" s="25">
        <v>1330</v>
      </c>
      <c r="BM162" s="175" t="s">
        <v>540</v>
      </c>
      <c r="BN162" s="24"/>
    </row>
    <row r="163" spans="1:66" ht="14.25" customHeight="1">
      <c r="A163" s="15" t="s">
        <v>0</v>
      </c>
      <c r="B163" s="19"/>
      <c r="C163" s="169"/>
      <c r="D163" s="120"/>
      <c r="E163" s="120"/>
      <c r="F163" s="120"/>
      <c r="G163" s="120"/>
      <c r="H163" s="170"/>
      <c r="I163" s="19"/>
      <c r="J163" s="19"/>
      <c r="K163" s="171"/>
      <c r="L163" s="163"/>
      <c r="M163" s="15"/>
      <c r="N163" s="15"/>
      <c r="O163" s="15"/>
      <c r="P163" s="165"/>
      <c r="Q163" s="163"/>
      <c r="R163" s="15"/>
      <c r="S163" s="165"/>
      <c r="T163" s="188"/>
      <c r="U163" s="188"/>
      <c r="V163" s="15">
        <v>303.57</v>
      </c>
      <c r="W163" s="15" t="s">
        <v>499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67"/>
      <c r="AM163" s="15"/>
      <c r="AN163" s="24"/>
      <c r="AO163" s="24"/>
      <c r="AP163" s="24"/>
      <c r="AQ163" s="24"/>
      <c r="AR163" s="24"/>
      <c r="AS163" s="25"/>
      <c r="AT163" s="25"/>
      <c r="AU163" s="168"/>
      <c r="AV163" s="24"/>
      <c r="AW163" s="24"/>
      <c r="AX163" s="268"/>
      <c r="AY163" s="268"/>
      <c r="AZ163" s="24"/>
      <c r="BA163" s="168"/>
      <c r="BB163" s="15"/>
      <c r="BC163" s="24"/>
      <c r="BD163" s="24"/>
      <c r="BE163" s="24"/>
      <c r="BF163" s="24"/>
      <c r="BG163" s="24"/>
      <c r="BH163" s="16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69" t="s">
        <v>42</v>
      </c>
      <c r="D164" s="120">
        <v>6.3620000000000001</v>
      </c>
      <c r="E164" s="120">
        <f>D164*4</f>
        <v>25.448</v>
      </c>
      <c r="F164" s="120">
        <f>E164*8</f>
        <v>203.584</v>
      </c>
      <c r="G164" s="120"/>
      <c r="H164" s="170"/>
      <c r="I164" s="19"/>
      <c r="J164" s="19"/>
      <c r="K164" s="171"/>
      <c r="L164" s="163">
        <v>2.25</v>
      </c>
      <c r="M164" s="15">
        <v>2.1880000000000002</v>
      </c>
      <c r="N164" s="15">
        <v>2E-3</v>
      </c>
      <c r="O164" s="15">
        <v>0.183</v>
      </c>
      <c r="P164" s="165">
        <f t="shared" si="54"/>
        <v>4.6230000000000002</v>
      </c>
      <c r="Q164" s="163">
        <v>0.24399999999999999</v>
      </c>
      <c r="R164" s="15">
        <v>5.0000000000000001E-3</v>
      </c>
      <c r="S164" s="165">
        <f t="shared" si="55"/>
        <v>0.249</v>
      </c>
      <c r="T164" s="188" t="s">
        <v>31</v>
      </c>
      <c r="U164" s="166" t="s">
        <v>568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67"/>
      <c r="AM164" s="127" t="s">
        <v>20</v>
      </c>
      <c r="AN164" s="121" t="s">
        <v>546</v>
      </c>
      <c r="AO164" s="121" t="s">
        <v>21</v>
      </c>
      <c r="AP164" s="338">
        <f t="shared" ref="AP164:AR164" si="70">AQ164-2</f>
        <v>45807</v>
      </c>
      <c r="AQ164" s="338">
        <f t="shared" si="70"/>
        <v>45809</v>
      </c>
      <c r="AR164" s="338">
        <f t="shared" si="70"/>
        <v>45811</v>
      </c>
      <c r="AS164" s="507">
        <v>45813</v>
      </c>
      <c r="AT164" s="25" t="s">
        <v>571</v>
      </c>
      <c r="AU164" s="173"/>
      <c r="AV164" s="127" t="s">
        <v>20</v>
      </c>
      <c r="AW164" s="15" t="s">
        <v>6</v>
      </c>
      <c r="AX164" s="268">
        <v>45814</v>
      </c>
      <c r="AY164" s="268">
        <f>AX164</f>
        <v>45814</v>
      </c>
      <c r="AZ164" s="24" t="str">
        <f>AT164</f>
        <v>Viki Enterprice</v>
      </c>
      <c r="BA164" s="168"/>
      <c r="BB164" s="127" t="s">
        <v>20</v>
      </c>
      <c r="BC164" s="121"/>
      <c r="BD164" s="121" t="s">
        <v>569</v>
      </c>
      <c r="BE164" s="269">
        <f>BF164-2</f>
        <v>45841</v>
      </c>
      <c r="BF164" s="269">
        <v>45843</v>
      </c>
      <c r="BG164" s="25" t="s">
        <v>505</v>
      </c>
      <c r="BH164" s="178"/>
      <c r="BI164" s="127" t="s">
        <v>20</v>
      </c>
      <c r="BJ164" s="17"/>
      <c r="BK164" s="17"/>
      <c r="BL164" s="25">
        <v>980</v>
      </c>
      <c r="BM164" s="175" t="s">
        <v>540</v>
      </c>
      <c r="BN164" s="24"/>
    </row>
    <row r="165" spans="1:66" ht="14.25" customHeight="1">
      <c r="A165" s="15" t="s">
        <v>0</v>
      </c>
      <c r="B165" s="19"/>
      <c r="C165" s="169"/>
      <c r="D165" s="120"/>
      <c r="E165" s="120"/>
      <c r="F165" s="120"/>
      <c r="G165" s="120"/>
      <c r="H165" s="170"/>
      <c r="I165" s="19"/>
      <c r="J165" s="19"/>
      <c r="K165" s="171"/>
      <c r="L165" s="163"/>
      <c r="M165" s="15"/>
      <c r="N165" s="15"/>
      <c r="O165" s="15"/>
      <c r="P165" s="165"/>
      <c r="Q165" s="163"/>
      <c r="R165" s="15"/>
      <c r="S165" s="165"/>
      <c r="T165" s="188"/>
      <c r="U165" s="188"/>
      <c r="V165" s="15">
        <v>224.33</v>
      </c>
      <c r="W165" s="15" t="s">
        <v>499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67"/>
      <c r="AM165" s="15"/>
      <c r="AN165" s="24"/>
      <c r="AO165" s="24"/>
      <c r="AP165" s="24"/>
      <c r="AQ165" s="24"/>
      <c r="AR165" s="24"/>
      <c r="AS165" s="25"/>
      <c r="AT165" s="25"/>
      <c r="AU165" s="168"/>
      <c r="AV165" s="24"/>
      <c r="AW165" s="24"/>
      <c r="AX165" s="268"/>
      <c r="AY165" s="268"/>
      <c r="AZ165" s="24"/>
      <c r="BA165" s="168"/>
      <c r="BB165" s="15"/>
      <c r="BC165" s="24"/>
      <c r="BD165" s="24"/>
      <c r="BE165" s="24"/>
      <c r="BF165" s="24"/>
      <c r="BG165" s="24"/>
      <c r="BH165" s="16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69" t="s">
        <v>76</v>
      </c>
      <c r="D166" s="120">
        <v>7.71</v>
      </c>
      <c r="E166" s="120">
        <f>D166*4</f>
        <v>30.84</v>
      </c>
      <c r="F166" s="120">
        <f>E166*8</f>
        <v>246.72</v>
      </c>
      <c r="G166" s="120"/>
      <c r="H166" s="170"/>
      <c r="I166" s="19"/>
      <c r="J166" s="19"/>
      <c r="K166" s="171"/>
      <c r="L166" s="163">
        <v>3.452</v>
      </c>
      <c r="M166" s="15">
        <v>2.633</v>
      </c>
      <c r="N166" s="15">
        <v>4.0000000000000001E-3</v>
      </c>
      <c r="O166" s="15">
        <v>0.24099999999999999</v>
      </c>
      <c r="P166" s="165">
        <f t="shared" si="54"/>
        <v>6.3299999999999992</v>
      </c>
      <c r="Q166" s="163">
        <v>0.36299999999999999</v>
      </c>
      <c r="R166" s="15">
        <v>6.0000000000000001E-3</v>
      </c>
      <c r="S166" s="165">
        <f t="shared" si="55"/>
        <v>0.36899999999999999</v>
      </c>
      <c r="T166" s="188" t="s">
        <v>31</v>
      </c>
      <c r="U166" s="166" t="s">
        <v>568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67"/>
      <c r="AM166" s="127" t="s">
        <v>20</v>
      </c>
      <c r="AN166" s="121" t="s">
        <v>546</v>
      </c>
      <c r="AO166" s="121" t="s">
        <v>21</v>
      </c>
      <c r="AP166" s="338">
        <f t="shared" ref="AP166:AR166" si="71">AQ166-2</f>
        <v>45807</v>
      </c>
      <c r="AQ166" s="338">
        <f t="shared" si="71"/>
        <v>45809</v>
      </c>
      <c r="AR166" s="338">
        <f t="shared" si="71"/>
        <v>45811</v>
      </c>
      <c r="AS166" s="507">
        <v>45813</v>
      </c>
      <c r="AT166" s="25" t="s">
        <v>571</v>
      </c>
      <c r="AU166" s="173"/>
      <c r="AV166" s="127" t="s">
        <v>20</v>
      </c>
      <c r="AW166" s="15" t="s">
        <v>6</v>
      </c>
      <c r="AX166" s="268">
        <v>45814</v>
      </c>
      <c r="AY166" s="268">
        <f>AX166</f>
        <v>45814</v>
      </c>
      <c r="AZ166" s="24" t="str">
        <f>AT166</f>
        <v>Viki Enterprice</v>
      </c>
      <c r="BA166" s="168"/>
      <c r="BB166" s="127" t="s">
        <v>20</v>
      </c>
      <c r="BC166" s="121"/>
      <c r="BD166" s="121" t="s">
        <v>569</v>
      </c>
      <c r="BE166" s="269">
        <f>BF166</f>
        <v>45845</v>
      </c>
      <c r="BF166" s="269">
        <v>45845</v>
      </c>
      <c r="BG166" s="25" t="s">
        <v>505</v>
      </c>
      <c r="BH166" s="179"/>
      <c r="BI166" s="127" t="s">
        <v>20</v>
      </c>
      <c r="BJ166" s="121"/>
      <c r="BK166" s="121"/>
      <c r="BL166" s="25">
        <v>1252</v>
      </c>
      <c r="BM166" s="175" t="s">
        <v>540</v>
      </c>
      <c r="BN166" s="185" t="s">
        <v>551</v>
      </c>
    </row>
    <row r="167" spans="1:66" ht="14.25" customHeight="1">
      <c r="A167" s="15" t="s">
        <v>0</v>
      </c>
      <c r="B167" s="19"/>
      <c r="C167" s="169"/>
      <c r="D167" s="120"/>
      <c r="E167" s="120"/>
      <c r="F167" s="120"/>
      <c r="G167" s="120"/>
      <c r="H167" s="170"/>
      <c r="I167" s="19"/>
      <c r="J167" s="19"/>
      <c r="K167" s="171"/>
      <c r="L167" s="163"/>
      <c r="M167" s="15"/>
      <c r="N167" s="15"/>
      <c r="O167" s="15"/>
      <c r="P167" s="165"/>
      <c r="Q167" s="163"/>
      <c r="R167" s="15"/>
      <c r="S167" s="165"/>
      <c r="T167" s="188"/>
      <c r="U167" s="188"/>
      <c r="V167" s="15">
        <v>246.76</v>
      </c>
      <c r="W167" s="15" t="s">
        <v>499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67"/>
      <c r="AM167" s="15"/>
      <c r="AN167" s="24"/>
      <c r="AO167" s="24"/>
      <c r="AP167" s="24"/>
      <c r="AQ167" s="24"/>
      <c r="AR167" s="24"/>
      <c r="AS167" s="25"/>
      <c r="AT167" s="25"/>
      <c r="AU167" s="168"/>
      <c r="AV167" s="24"/>
      <c r="AW167" s="24"/>
      <c r="AX167" s="268"/>
      <c r="AY167" s="268"/>
      <c r="AZ167" s="24"/>
      <c r="BA167" s="168"/>
      <c r="BB167" s="15"/>
      <c r="BC167" s="24"/>
      <c r="BD167" s="24"/>
      <c r="BE167" s="24"/>
      <c r="BF167" s="24"/>
      <c r="BG167" s="24"/>
      <c r="BH167" s="16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69" t="s">
        <v>81</v>
      </c>
      <c r="D168" s="120">
        <v>9.5489999999999995</v>
      </c>
      <c r="E168" s="120">
        <f>D168*4</f>
        <v>38.195999999999998</v>
      </c>
      <c r="F168" s="120">
        <f>E168*8</f>
        <v>305.56799999999998</v>
      </c>
      <c r="G168" s="120"/>
      <c r="H168" s="170"/>
      <c r="I168" s="19"/>
      <c r="J168" s="19"/>
      <c r="K168" s="171"/>
      <c r="L168" s="16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65">
        <f t="shared" si="54"/>
        <v>8.1417000000000002</v>
      </c>
      <c r="Q168" s="163">
        <v>0.36299999999999999</v>
      </c>
      <c r="R168" s="15">
        <v>6.0000000000000001E-3</v>
      </c>
      <c r="S168" s="165">
        <f t="shared" si="55"/>
        <v>0.36899999999999999</v>
      </c>
      <c r="T168" s="188" t="s">
        <v>31</v>
      </c>
      <c r="U168" s="166" t="s">
        <v>568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67"/>
      <c r="AM168" s="127" t="s">
        <v>20</v>
      </c>
      <c r="AN168" s="121" t="s">
        <v>546</v>
      </c>
      <c r="AO168" s="121" t="s">
        <v>21</v>
      </c>
      <c r="AP168" s="338">
        <f t="shared" ref="AP168:AR168" si="72">AQ168-2</f>
        <v>45796</v>
      </c>
      <c r="AQ168" s="338">
        <f t="shared" si="72"/>
        <v>45798</v>
      </c>
      <c r="AR168" s="338">
        <f t="shared" si="72"/>
        <v>45800</v>
      </c>
      <c r="AS168" s="507">
        <v>45802</v>
      </c>
      <c r="AT168" s="25" t="s">
        <v>544</v>
      </c>
      <c r="AU168" s="168"/>
      <c r="AV168" s="127" t="s">
        <v>20</v>
      </c>
      <c r="AW168" s="15" t="s">
        <v>6</v>
      </c>
      <c r="AX168" s="268">
        <v>45805</v>
      </c>
      <c r="AY168" s="268">
        <v>45805</v>
      </c>
      <c r="AZ168" s="24" t="str">
        <f>AT168</f>
        <v>Shree Shyam</v>
      </c>
      <c r="BA168" s="168"/>
      <c r="BB168" s="127" t="s">
        <v>20</v>
      </c>
      <c r="BC168" s="121"/>
      <c r="BD168" s="121" t="s">
        <v>559</v>
      </c>
      <c r="BE168" s="269">
        <f>BF168-2</f>
        <v>45866</v>
      </c>
      <c r="BF168" s="269">
        <v>45868</v>
      </c>
      <c r="BG168" s="25" t="s">
        <v>505</v>
      </c>
      <c r="BH168" s="178"/>
      <c r="BI168" s="127" t="s">
        <v>20</v>
      </c>
      <c r="BJ168" s="121"/>
      <c r="BK168" s="121"/>
      <c r="BL168" s="15">
        <v>1812</v>
      </c>
      <c r="BM168" s="175" t="s">
        <v>540</v>
      </c>
      <c r="BN168" s="24"/>
    </row>
    <row r="169" spans="1:66" ht="14.25" customHeight="1">
      <c r="A169" s="15" t="s">
        <v>0</v>
      </c>
      <c r="B169" s="19"/>
      <c r="C169" s="169"/>
      <c r="D169" s="120"/>
      <c r="E169" s="120"/>
      <c r="F169" s="120"/>
      <c r="G169" s="120"/>
      <c r="H169" s="170"/>
      <c r="I169" s="19"/>
      <c r="J169" s="19"/>
      <c r="K169" s="171"/>
      <c r="L169" s="163"/>
      <c r="M169" s="15"/>
      <c r="N169" s="15"/>
      <c r="O169" s="15"/>
      <c r="P169" s="165"/>
      <c r="Q169" s="163"/>
      <c r="R169" s="15"/>
      <c r="S169" s="165"/>
      <c r="T169" s="188"/>
      <c r="U169" s="188"/>
      <c r="V169" s="15">
        <v>418.18</v>
      </c>
      <c r="W169" s="15" t="s">
        <v>499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67"/>
      <c r="AM169" s="15"/>
      <c r="AN169" s="24"/>
      <c r="AO169" s="24"/>
      <c r="AP169" s="24"/>
      <c r="AQ169" s="24"/>
      <c r="AR169" s="24"/>
      <c r="AS169" s="25"/>
      <c r="AT169" s="25"/>
      <c r="AU169" s="168"/>
      <c r="AV169" s="15"/>
      <c r="AW169" s="24"/>
      <c r="AX169" s="268"/>
      <c r="AY169" s="268"/>
      <c r="AZ169" s="24"/>
      <c r="BA169" s="168"/>
      <c r="BB169" s="15"/>
      <c r="BC169" s="24"/>
      <c r="BD169" s="24"/>
      <c r="BE169" s="24"/>
      <c r="BF169" s="24"/>
      <c r="BG169" s="24"/>
      <c r="BH169" s="16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69" t="s">
        <v>85</v>
      </c>
      <c r="D170" s="120">
        <v>8.2520000000000007</v>
      </c>
      <c r="E170" s="120">
        <f>D170*4</f>
        <v>33.008000000000003</v>
      </c>
      <c r="F170" s="120">
        <f>E170*8</f>
        <v>264.06400000000002</v>
      </c>
      <c r="G170" s="120"/>
      <c r="H170" s="170"/>
      <c r="I170" s="19"/>
      <c r="J170" s="19"/>
      <c r="K170" s="171"/>
      <c r="L170" s="16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65">
        <f t="shared" si="54"/>
        <v>7.0057</v>
      </c>
      <c r="Q170" s="163">
        <v>0.24399999999999999</v>
      </c>
      <c r="R170" s="15">
        <v>5.0000000000000001E-3</v>
      </c>
      <c r="S170" s="165">
        <f t="shared" si="55"/>
        <v>0.249</v>
      </c>
      <c r="T170" s="188" t="s">
        <v>31</v>
      </c>
      <c r="U170" s="166" t="s">
        <v>568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67"/>
      <c r="AM170" s="127" t="s">
        <v>20</v>
      </c>
      <c r="AN170" s="121" t="s">
        <v>546</v>
      </c>
      <c r="AO170" s="121" t="s">
        <v>21</v>
      </c>
      <c r="AP170" s="338">
        <f t="shared" ref="AP170:AR170" si="73">AQ170-2</f>
        <v>45794</v>
      </c>
      <c r="AQ170" s="338">
        <f t="shared" si="73"/>
        <v>45796</v>
      </c>
      <c r="AR170" s="338">
        <f t="shared" si="73"/>
        <v>45798</v>
      </c>
      <c r="AS170" s="507">
        <v>45800</v>
      </c>
      <c r="AT170" s="25" t="s">
        <v>544</v>
      </c>
      <c r="AU170" s="168"/>
      <c r="AV170" s="127" t="s">
        <v>20</v>
      </c>
      <c r="AW170" s="15" t="s">
        <v>6</v>
      </c>
      <c r="AX170" s="268">
        <f>AY170</f>
        <v>45805</v>
      </c>
      <c r="AY170" s="268">
        <f>AS170+5</f>
        <v>45805</v>
      </c>
      <c r="AZ170" s="24" t="str">
        <f>AT170</f>
        <v>Shree Shyam</v>
      </c>
      <c r="BA170" s="168"/>
      <c r="BB170" s="127" t="s">
        <v>20</v>
      </c>
      <c r="BC170" s="121"/>
      <c r="BD170" s="121" t="s">
        <v>570</v>
      </c>
      <c r="BE170" s="269">
        <f>BF170-2</f>
        <v>45835</v>
      </c>
      <c r="BF170" s="269">
        <v>45837</v>
      </c>
      <c r="BG170" s="17" t="s">
        <v>547</v>
      </c>
      <c r="BH170" s="179"/>
      <c r="BI170" s="127" t="s">
        <v>20</v>
      </c>
      <c r="BJ170" s="121"/>
      <c r="BK170" s="121"/>
      <c r="BL170" s="25">
        <v>1588</v>
      </c>
      <c r="BM170" s="175" t="s">
        <v>540</v>
      </c>
      <c r="BN170" s="24"/>
    </row>
    <row r="171" spans="1:66" ht="14.25" customHeight="1">
      <c r="A171" s="15" t="s">
        <v>0</v>
      </c>
      <c r="B171" s="19"/>
      <c r="C171" s="169"/>
      <c r="D171" s="120"/>
      <c r="E171" s="120"/>
      <c r="F171" s="120"/>
      <c r="G171" s="120"/>
      <c r="H171" s="170"/>
      <c r="I171" s="19"/>
      <c r="J171" s="19"/>
      <c r="K171" s="171"/>
      <c r="L171" s="163"/>
      <c r="M171" s="15"/>
      <c r="N171" s="15"/>
      <c r="O171" s="15"/>
      <c r="P171" s="165"/>
      <c r="Q171" s="163"/>
      <c r="R171" s="15"/>
      <c r="S171" s="165"/>
      <c r="T171" s="188"/>
      <c r="U171" s="188"/>
      <c r="V171" s="15">
        <v>298.66000000000003</v>
      </c>
      <c r="W171" s="15" t="s">
        <v>499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67"/>
      <c r="AM171" s="15"/>
      <c r="AN171" s="24"/>
      <c r="AO171" s="24"/>
      <c r="AP171" s="24"/>
      <c r="AQ171" s="24"/>
      <c r="AR171" s="24"/>
      <c r="AS171" s="25"/>
      <c r="AT171" s="25"/>
      <c r="AU171" s="168"/>
      <c r="AV171" s="15"/>
      <c r="AW171" s="24"/>
      <c r="AX171" s="268"/>
      <c r="AY171" s="268"/>
      <c r="AZ171" s="24"/>
      <c r="BA171" s="168"/>
      <c r="BB171" s="15"/>
      <c r="BC171" s="24"/>
      <c r="BD171" s="24"/>
      <c r="BE171" s="24"/>
      <c r="BF171" s="24"/>
      <c r="BG171" s="24"/>
      <c r="BH171" s="16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69" t="s">
        <v>42</v>
      </c>
      <c r="D172" s="120">
        <v>6.3620000000000001</v>
      </c>
      <c r="E172" s="120">
        <f>D172*4</f>
        <v>25.448</v>
      </c>
      <c r="F172" s="120">
        <f>E172*8</f>
        <v>203.584</v>
      </c>
      <c r="G172" s="120"/>
      <c r="H172" s="170"/>
      <c r="I172" s="19"/>
      <c r="J172" s="19"/>
      <c r="K172" s="171"/>
      <c r="L172" s="163">
        <v>2.25</v>
      </c>
      <c r="M172" s="15">
        <v>2.1880000000000002</v>
      </c>
      <c r="N172" s="15">
        <v>2E-3</v>
      </c>
      <c r="O172" s="15">
        <v>0.183</v>
      </c>
      <c r="P172" s="165">
        <f t="shared" si="54"/>
        <v>4.6230000000000002</v>
      </c>
      <c r="Q172" s="163">
        <v>0.24399999999999999</v>
      </c>
      <c r="R172" s="15">
        <v>5.0000000000000001E-3</v>
      </c>
      <c r="S172" s="165">
        <f t="shared" si="55"/>
        <v>0.249</v>
      </c>
      <c r="T172" s="188" t="s">
        <v>31</v>
      </c>
      <c r="U172" s="166" t="s">
        <v>568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67"/>
      <c r="AM172" s="127" t="s">
        <v>20</v>
      </c>
      <c r="AN172" s="121" t="s">
        <v>546</v>
      </c>
      <c r="AO172" s="121" t="s">
        <v>21</v>
      </c>
      <c r="AP172" s="338">
        <f>AQ172-1</f>
        <v>45801</v>
      </c>
      <c r="AQ172" s="338">
        <f t="shared" ref="AQ172:AR172" si="74">AR172-2</f>
        <v>45802</v>
      </c>
      <c r="AR172" s="338">
        <f t="shared" si="74"/>
        <v>45804</v>
      </c>
      <c r="AS172" s="507">
        <v>45806</v>
      </c>
      <c r="AT172" s="25" t="s">
        <v>544</v>
      </c>
      <c r="AU172" s="168"/>
      <c r="AV172" s="127" t="s">
        <v>20</v>
      </c>
      <c r="AW172" s="15" t="s">
        <v>6</v>
      </c>
      <c r="AX172" s="268">
        <v>45811</v>
      </c>
      <c r="AY172" s="268">
        <f>AX172</f>
        <v>45811</v>
      </c>
      <c r="AZ172" s="24" t="str">
        <f>AT172</f>
        <v>Shree Shyam</v>
      </c>
      <c r="BA172" s="168"/>
      <c r="BB172" s="127" t="s">
        <v>20</v>
      </c>
      <c r="BC172" s="121"/>
      <c r="BD172" s="121" t="s">
        <v>570</v>
      </c>
      <c r="BE172" s="269">
        <f>BF172</f>
        <v>45839</v>
      </c>
      <c r="BF172" s="269">
        <v>45839</v>
      </c>
      <c r="BG172" s="17" t="s">
        <v>547</v>
      </c>
      <c r="BH172" s="168"/>
      <c r="BI172" s="127" t="s">
        <v>20</v>
      </c>
      <c r="BJ172" s="24"/>
      <c r="BK172" s="24"/>
      <c r="BL172" s="25">
        <v>980</v>
      </c>
      <c r="BM172" s="175" t="s">
        <v>540</v>
      </c>
      <c r="BN172" s="24"/>
    </row>
    <row r="173" spans="1:66" ht="14.25" customHeight="1">
      <c r="A173" s="15" t="s">
        <v>0</v>
      </c>
      <c r="B173" s="19"/>
      <c r="C173" s="169"/>
      <c r="D173" s="120"/>
      <c r="E173" s="120"/>
      <c r="F173" s="120"/>
      <c r="G173" s="120"/>
      <c r="H173" s="170"/>
      <c r="I173" s="19"/>
      <c r="J173" s="19"/>
      <c r="K173" s="171"/>
      <c r="L173" s="163"/>
      <c r="M173" s="15"/>
      <c r="N173" s="15"/>
      <c r="O173" s="15"/>
      <c r="P173" s="165"/>
      <c r="Q173" s="163"/>
      <c r="R173" s="15"/>
      <c r="S173" s="165"/>
      <c r="T173" s="188"/>
      <c r="U173" s="188"/>
      <c r="V173" s="15">
        <v>358.67</v>
      </c>
      <c r="W173" s="15" t="s">
        <v>499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67"/>
      <c r="AM173" s="15"/>
      <c r="AN173" s="24"/>
      <c r="AO173" s="24"/>
      <c r="AP173" s="24"/>
      <c r="AQ173" s="24"/>
      <c r="AR173" s="24"/>
      <c r="AS173" s="25"/>
      <c r="AT173" s="25"/>
      <c r="AU173" s="168"/>
      <c r="AV173" s="15"/>
      <c r="AW173" s="24"/>
      <c r="AX173" s="268"/>
      <c r="AY173" s="268"/>
      <c r="AZ173" s="24"/>
      <c r="BA173" s="168"/>
      <c r="BB173" s="15"/>
      <c r="BC173" s="24"/>
      <c r="BD173" s="24"/>
      <c r="BE173" s="24"/>
      <c r="BF173" s="24"/>
      <c r="BG173" s="24"/>
      <c r="BH173" s="16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69" t="s">
        <v>42</v>
      </c>
      <c r="D174" s="120">
        <v>6.3620000000000001</v>
      </c>
      <c r="E174" s="120">
        <f>D174*4</f>
        <v>25.448</v>
      </c>
      <c r="F174" s="120">
        <f>E174*8</f>
        <v>203.584</v>
      </c>
      <c r="G174" s="120"/>
      <c r="H174" s="170"/>
      <c r="I174" s="19"/>
      <c r="J174" s="19"/>
      <c r="K174" s="171"/>
      <c r="L174" s="163">
        <v>2.25</v>
      </c>
      <c r="M174" s="15">
        <v>2.1880000000000002</v>
      </c>
      <c r="N174" s="15">
        <v>2E-3</v>
      </c>
      <c r="O174" s="15">
        <v>0.183</v>
      </c>
      <c r="P174" s="165">
        <f t="shared" si="54"/>
        <v>4.6230000000000002</v>
      </c>
      <c r="Q174" s="163">
        <v>0.24399999999999999</v>
      </c>
      <c r="R174" s="15">
        <v>5.0000000000000001E-3</v>
      </c>
      <c r="S174" s="165">
        <f t="shared" si="55"/>
        <v>0.249</v>
      </c>
      <c r="T174" s="188" t="s">
        <v>31</v>
      </c>
      <c r="U174" s="166" t="s">
        <v>568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67"/>
      <c r="AM174" s="127" t="s">
        <v>20</v>
      </c>
      <c r="AN174" s="121" t="str">
        <f>AO174</f>
        <v>D</v>
      </c>
      <c r="AO174" s="121" t="s">
        <v>21</v>
      </c>
      <c r="AP174" s="338">
        <v>45527</v>
      </c>
      <c r="AQ174" s="338">
        <v>45536</v>
      </c>
      <c r="AR174" s="338">
        <v>45558</v>
      </c>
      <c r="AS174" s="507">
        <v>45563</v>
      </c>
      <c r="AT174" s="25" t="s">
        <v>573</v>
      </c>
      <c r="AU174" s="168"/>
      <c r="AV174" s="127" t="s">
        <v>20</v>
      </c>
      <c r="AW174" s="15" t="s">
        <v>6</v>
      </c>
      <c r="AX174" s="268">
        <v>45662</v>
      </c>
      <c r="AY174" s="268">
        <v>45662</v>
      </c>
      <c r="AZ174" s="172" t="s">
        <v>538</v>
      </c>
      <c r="BA174" s="173"/>
      <c r="BB174" s="127" t="s">
        <v>20</v>
      </c>
      <c r="BC174" s="121"/>
      <c r="BD174" s="121" t="s">
        <v>21</v>
      </c>
      <c r="BE174" s="269">
        <f>BF174-2</f>
        <v>45729</v>
      </c>
      <c r="BF174" s="269">
        <v>45731</v>
      </c>
      <c r="BG174" s="15" t="s">
        <v>574</v>
      </c>
      <c r="BH174" s="179"/>
      <c r="BI174" s="127" t="s">
        <v>20</v>
      </c>
      <c r="BJ174" s="24"/>
      <c r="BK174" s="24"/>
      <c r="BL174" s="25">
        <v>980</v>
      </c>
      <c r="BM174" s="175" t="s">
        <v>540</v>
      </c>
      <c r="BN174" s="24"/>
    </row>
    <row r="175" spans="1:66" ht="14.25" customHeight="1">
      <c r="A175" s="15" t="s">
        <v>0</v>
      </c>
      <c r="B175" s="19"/>
      <c r="C175" s="169"/>
      <c r="D175" s="120"/>
      <c r="E175" s="120"/>
      <c r="F175" s="120"/>
      <c r="G175" s="120"/>
      <c r="H175" s="170"/>
      <c r="I175" s="19"/>
      <c r="J175" s="19"/>
      <c r="K175" s="171"/>
      <c r="L175" s="163"/>
      <c r="M175" s="15"/>
      <c r="N175" s="15"/>
      <c r="O175" s="15"/>
      <c r="P175" s="165"/>
      <c r="Q175" s="163"/>
      <c r="R175" s="15"/>
      <c r="S175" s="165"/>
      <c r="T175" s="188"/>
      <c r="U175" s="188"/>
      <c r="V175" s="15">
        <v>366.13</v>
      </c>
      <c r="W175" s="15" t="s">
        <v>499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67"/>
      <c r="AM175" s="15"/>
      <c r="AN175" s="24"/>
      <c r="AO175" s="24"/>
      <c r="AP175" s="24"/>
      <c r="AQ175" s="24"/>
      <c r="AR175" s="24"/>
      <c r="AS175" s="25"/>
      <c r="AT175" s="25"/>
      <c r="AU175" s="168"/>
      <c r="AV175" s="15"/>
      <c r="AW175" s="24"/>
      <c r="AX175" s="268"/>
      <c r="AY175" s="268"/>
      <c r="AZ175" s="24"/>
      <c r="BA175" s="168"/>
      <c r="BB175" s="15"/>
      <c r="BC175" s="24"/>
      <c r="BD175" s="24"/>
      <c r="BE175" s="24"/>
      <c r="BF175" s="24"/>
      <c r="BG175" s="24"/>
      <c r="BH175" s="16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69" t="s">
        <v>37</v>
      </c>
      <c r="D176" s="120">
        <v>6.992</v>
      </c>
      <c r="E176" s="120">
        <f>D176*4</f>
        <v>27.968</v>
      </c>
      <c r="F176" s="120">
        <f>E176*8</f>
        <v>223.744</v>
      </c>
      <c r="G176" s="120"/>
      <c r="H176" s="170"/>
      <c r="I176" s="19"/>
      <c r="J176" s="19"/>
      <c r="K176" s="171"/>
      <c r="L176" s="163">
        <v>2.6070000000000002</v>
      </c>
      <c r="M176" s="15">
        <v>2.657</v>
      </c>
      <c r="N176" s="15">
        <v>2E-3</v>
      </c>
      <c r="O176" s="15">
        <v>0.21299999999999999</v>
      </c>
      <c r="P176" s="165">
        <f t="shared" si="54"/>
        <v>5.4790000000000001</v>
      </c>
      <c r="Q176" s="163">
        <v>0.24399999999999999</v>
      </c>
      <c r="R176" s="15">
        <v>5.0000000000000001E-3</v>
      </c>
      <c r="S176" s="165">
        <f t="shared" si="55"/>
        <v>0.249</v>
      </c>
      <c r="T176" s="188" t="s">
        <v>31</v>
      </c>
      <c r="U176" s="166" t="s">
        <v>568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67"/>
      <c r="AM176" s="127" t="s">
        <v>20</v>
      </c>
      <c r="AN176" s="121" t="str">
        <f>AO176</f>
        <v>D</v>
      </c>
      <c r="AO176" s="121" t="s">
        <v>21</v>
      </c>
      <c r="AP176" s="338">
        <v>45547</v>
      </c>
      <c r="AQ176" s="338">
        <v>45550</v>
      </c>
      <c r="AR176" s="338">
        <v>45594</v>
      </c>
      <c r="AS176" s="507">
        <v>45595</v>
      </c>
      <c r="AT176" s="25" t="s">
        <v>573</v>
      </c>
      <c r="AU176" s="168"/>
      <c r="AV176" s="127" t="s">
        <v>20</v>
      </c>
      <c r="AW176" s="15" t="s">
        <v>6</v>
      </c>
      <c r="AX176" s="268">
        <v>45662</v>
      </c>
      <c r="AY176" s="268">
        <v>45662</v>
      </c>
      <c r="AZ176" s="172" t="s">
        <v>538</v>
      </c>
      <c r="BA176" s="172"/>
      <c r="BB176" s="127" t="s">
        <v>20</v>
      </c>
      <c r="BC176" s="121"/>
      <c r="BD176" s="121" t="s">
        <v>21</v>
      </c>
      <c r="BE176" s="269">
        <f>BF176-1</f>
        <v>45796</v>
      </c>
      <c r="BF176" s="269">
        <v>45797</v>
      </c>
      <c r="BG176" s="25" t="s">
        <v>505</v>
      </c>
      <c r="BH176" s="124"/>
      <c r="BI176" s="127" t="s">
        <v>20</v>
      </c>
      <c r="BJ176" s="121"/>
      <c r="BK176" s="121"/>
      <c r="BL176" s="25">
        <v>1330</v>
      </c>
      <c r="BM176" s="175" t="s">
        <v>540</v>
      </c>
      <c r="BN176" s="24"/>
    </row>
    <row r="177" spans="1:65" ht="14.25" customHeight="1">
      <c r="A177" s="15" t="s">
        <v>0</v>
      </c>
      <c r="B177" s="19"/>
      <c r="C177" s="169"/>
      <c r="D177" s="120"/>
      <c r="E177" s="120"/>
      <c r="F177" s="120"/>
      <c r="G177" s="120"/>
      <c r="H177" s="170"/>
      <c r="I177" s="19"/>
      <c r="J177" s="19"/>
      <c r="K177" s="171"/>
      <c r="L177" s="163"/>
      <c r="M177" s="15"/>
      <c r="N177" s="15"/>
      <c r="O177" s="15"/>
      <c r="P177" s="165"/>
      <c r="Q177" s="163"/>
      <c r="R177" s="15"/>
      <c r="S177" s="165"/>
      <c r="T177" s="188"/>
      <c r="U177" s="188"/>
      <c r="V177" s="15">
        <v>255.6</v>
      </c>
      <c r="W177" s="15" t="s">
        <v>536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67"/>
      <c r="AM177" s="15"/>
      <c r="AN177" s="24"/>
      <c r="AO177" s="24"/>
      <c r="AP177" s="24"/>
      <c r="AQ177" s="24"/>
      <c r="AR177" s="24"/>
      <c r="AS177" s="25"/>
      <c r="AT177" s="25"/>
      <c r="AU177" s="168"/>
      <c r="AV177" s="15"/>
      <c r="AW177" s="24"/>
      <c r="AX177" s="268"/>
      <c r="AY177" s="268"/>
      <c r="AZ177" s="24"/>
      <c r="BA177" s="168"/>
      <c r="BB177" s="15"/>
      <c r="BC177" s="24"/>
      <c r="BD177" s="24"/>
      <c r="BE177" s="24"/>
      <c r="BF177" s="24"/>
      <c r="BG177" s="24"/>
      <c r="BH177" s="16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69" t="s">
        <v>34</v>
      </c>
      <c r="D178" s="120">
        <v>9.6539999999999999</v>
      </c>
      <c r="E178" s="120">
        <f>D178*4</f>
        <v>38.616</v>
      </c>
      <c r="F178" s="120">
        <f>E178*8</f>
        <v>308.928</v>
      </c>
      <c r="G178" s="120"/>
      <c r="H178" s="170"/>
      <c r="I178" s="19"/>
      <c r="J178" s="19"/>
      <c r="K178" s="171"/>
      <c r="L178" s="163">
        <v>4.8070000000000004</v>
      </c>
      <c r="M178" s="15">
        <v>4.016</v>
      </c>
      <c r="N178" s="15">
        <v>7.0000000000000001E-3</v>
      </c>
      <c r="O178" s="15">
        <v>0.43099999999999999</v>
      </c>
      <c r="P178" s="165">
        <f t="shared" si="54"/>
        <v>9.2609999999999992</v>
      </c>
      <c r="Q178" s="163">
        <v>0.55700000000000005</v>
      </c>
      <c r="R178" s="15">
        <v>0.01</v>
      </c>
      <c r="S178" s="165">
        <f t="shared" si="55"/>
        <v>0.56700000000000006</v>
      </c>
      <c r="T178" s="188" t="s">
        <v>154</v>
      </c>
      <c r="U178" s="166" t="s">
        <v>568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67"/>
      <c r="AM178" s="127" t="s">
        <v>20</v>
      </c>
      <c r="AN178" s="121" t="str">
        <f>AO178</f>
        <v>D</v>
      </c>
      <c r="AO178" s="121" t="s">
        <v>21</v>
      </c>
      <c r="AP178" s="338">
        <v>45604</v>
      </c>
      <c r="AQ178" s="338">
        <f>AP178+10</f>
        <v>45614</v>
      </c>
      <c r="AR178" s="338">
        <f>AS178-4</f>
        <v>45618</v>
      </c>
      <c r="AS178" s="507">
        <v>45622</v>
      </c>
      <c r="AT178" s="25" t="s">
        <v>573</v>
      </c>
      <c r="AU178" s="168"/>
      <c r="AV178" s="127" t="s">
        <v>20</v>
      </c>
      <c r="AW178" s="15" t="s">
        <v>6</v>
      </c>
      <c r="AX178" s="268">
        <v>45706</v>
      </c>
      <c r="AY178" s="268">
        <v>45706</v>
      </c>
      <c r="AZ178" s="172" t="s">
        <v>538</v>
      </c>
      <c r="BA178" s="173"/>
      <c r="BB178" s="127" t="s">
        <v>20</v>
      </c>
      <c r="BC178" s="121" t="s">
        <v>539</v>
      </c>
      <c r="BD178" s="121" t="s">
        <v>21</v>
      </c>
      <c r="BE178" s="269">
        <f>BF178-2</f>
        <v>45743</v>
      </c>
      <c r="BF178" s="269">
        <v>45745</v>
      </c>
      <c r="BG178" s="15" t="s">
        <v>574</v>
      </c>
      <c r="BH178" s="177"/>
      <c r="BI178" s="127" t="s">
        <v>20</v>
      </c>
      <c r="BJ178" s="121"/>
      <c r="BK178" s="121"/>
      <c r="BL178" s="25">
        <v>1202</v>
      </c>
      <c r="BM178" s="175" t="s">
        <v>540</v>
      </c>
    </row>
    <row r="179" spans="1:65" ht="14.25" customHeight="1">
      <c r="A179" s="15" t="s">
        <v>0</v>
      </c>
      <c r="B179" s="19"/>
      <c r="C179" s="169"/>
      <c r="D179" s="120"/>
      <c r="E179" s="120"/>
      <c r="F179" s="120"/>
      <c r="G179" s="120"/>
      <c r="H179" s="170"/>
      <c r="I179" s="19"/>
      <c r="J179" s="19"/>
      <c r="K179" s="171"/>
      <c r="L179" s="163"/>
      <c r="M179" s="15"/>
      <c r="N179" s="15"/>
      <c r="O179" s="15"/>
      <c r="P179" s="165"/>
      <c r="Q179" s="163"/>
      <c r="R179" s="15"/>
      <c r="S179" s="165"/>
      <c r="T179" s="188"/>
      <c r="U179" s="188"/>
      <c r="V179" s="15">
        <v>229.72399999999999</v>
      </c>
      <c r="W179" s="15" t="s">
        <v>536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67"/>
      <c r="AM179" s="15"/>
      <c r="AN179" s="24"/>
      <c r="AO179" s="24"/>
      <c r="AP179" s="24"/>
      <c r="AQ179" s="24"/>
      <c r="AR179" s="24"/>
      <c r="AS179" s="25"/>
      <c r="AT179" s="25"/>
      <c r="AU179" s="168"/>
      <c r="AV179" s="15"/>
      <c r="AW179" s="24"/>
      <c r="AX179" s="268"/>
      <c r="AY179" s="268"/>
      <c r="AZ179" s="24"/>
      <c r="BA179" s="168"/>
      <c r="BB179" s="24"/>
      <c r="BC179" s="24"/>
      <c r="BD179" s="24"/>
      <c r="BE179" s="24"/>
      <c r="BF179" s="24"/>
      <c r="BG179" s="24"/>
      <c r="BH179" s="16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89" t="s">
        <v>37</v>
      </c>
      <c r="D180" s="120">
        <v>6.992</v>
      </c>
      <c r="E180" s="120">
        <f>D180*4</f>
        <v>27.968</v>
      </c>
      <c r="F180" s="120">
        <f>E180*8</f>
        <v>223.744</v>
      </c>
      <c r="G180" s="120"/>
      <c r="H180" s="170"/>
      <c r="I180" s="19"/>
      <c r="J180" s="19"/>
      <c r="K180" s="171"/>
      <c r="L180" s="163">
        <v>2.6070000000000002</v>
      </c>
      <c r="M180" s="15">
        <v>2.657</v>
      </c>
      <c r="N180" s="15">
        <v>2E-3</v>
      </c>
      <c r="O180" s="15">
        <v>0.21299999999999999</v>
      </c>
      <c r="P180" s="165">
        <f t="shared" si="54"/>
        <v>5.4790000000000001</v>
      </c>
      <c r="Q180" s="163">
        <v>0.24399999999999999</v>
      </c>
      <c r="R180" s="15">
        <v>5.0000000000000001E-3</v>
      </c>
      <c r="S180" s="165">
        <f t="shared" si="55"/>
        <v>0.249</v>
      </c>
      <c r="T180" s="188" t="s">
        <v>31</v>
      </c>
      <c r="U180" s="166" t="s">
        <v>568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67"/>
      <c r="AM180" s="127" t="s">
        <v>20</v>
      </c>
      <c r="AN180" s="121" t="s">
        <v>21</v>
      </c>
      <c r="AO180" s="121" t="s">
        <v>21</v>
      </c>
      <c r="AP180" s="338">
        <f t="shared" ref="AP180:AR180" si="75">AQ180-2</f>
        <v>45760</v>
      </c>
      <c r="AQ180" s="338">
        <f t="shared" si="75"/>
        <v>45762</v>
      </c>
      <c r="AR180" s="338">
        <f t="shared" si="75"/>
        <v>45764</v>
      </c>
      <c r="AS180" s="507">
        <v>45766</v>
      </c>
      <c r="AT180" s="25" t="s">
        <v>548</v>
      </c>
      <c r="AU180" s="168"/>
      <c r="AV180" s="127" t="s">
        <v>20</v>
      </c>
      <c r="AW180" s="15" t="s">
        <v>6</v>
      </c>
      <c r="AX180" s="268">
        <f>AY180</f>
        <v>45661</v>
      </c>
      <c r="AY180" s="268">
        <v>45661</v>
      </c>
      <c r="AZ180" s="172" t="s">
        <v>538</v>
      </c>
      <c r="BA180" s="173"/>
      <c r="BB180" s="127" t="s">
        <v>20</v>
      </c>
      <c r="BC180" s="121"/>
      <c r="BD180" s="121" t="s">
        <v>21</v>
      </c>
      <c r="BE180" s="269">
        <f>BF180-1</f>
        <v>45798</v>
      </c>
      <c r="BF180" s="269">
        <v>45799</v>
      </c>
      <c r="BG180" s="25" t="s">
        <v>505</v>
      </c>
      <c r="BH180" s="179"/>
      <c r="BI180" s="127" t="s">
        <v>20</v>
      </c>
      <c r="BJ180" s="121"/>
      <c r="BK180" s="121"/>
      <c r="BL180" s="25">
        <v>1330</v>
      </c>
      <c r="BM180" s="24"/>
    </row>
    <row r="181" spans="1:65" ht="14.25" customHeight="1">
      <c r="A181" s="15" t="s">
        <v>0</v>
      </c>
      <c r="B181" s="19"/>
      <c r="C181" s="169"/>
      <c r="D181" s="120"/>
      <c r="E181" s="120"/>
      <c r="F181" s="120"/>
      <c r="G181" s="120"/>
      <c r="H181" s="170"/>
      <c r="I181" s="19"/>
      <c r="J181" s="19"/>
      <c r="K181" s="171"/>
      <c r="L181" s="163"/>
      <c r="M181" s="15"/>
      <c r="N181" s="15"/>
      <c r="O181" s="15"/>
      <c r="P181" s="165"/>
      <c r="Q181" s="163"/>
      <c r="R181" s="15"/>
      <c r="S181" s="165"/>
      <c r="T181" s="188"/>
      <c r="U181" s="188"/>
      <c r="V181" s="15">
        <v>359.35599999999999</v>
      </c>
      <c r="W181" s="15" t="s">
        <v>499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67"/>
      <c r="AM181" s="15"/>
      <c r="AN181" s="24"/>
      <c r="AO181" s="24"/>
      <c r="AP181" s="24"/>
      <c r="AQ181" s="24"/>
      <c r="AR181" s="24"/>
      <c r="AS181" s="25"/>
      <c r="AT181" s="25"/>
      <c r="AU181" s="168"/>
      <c r="AV181" s="15"/>
      <c r="AW181" s="24"/>
      <c r="AX181" s="268"/>
      <c r="AY181" s="268"/>
      <c r="AZ181" s="24"/>
      <c r="BA181" s="168"/>
      <c r="BB181" s="24"/>
      <c r="BC181" s="24"/>
      <c r="BD181" s="24"/>
      <c r="BE181" s="24"/>
      <c r="BF181" s="24"/>
      <c r="BG181" s="24"/>
      <c r="BH181" s="16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69" t="s">
        <v>85</v>
      </c>
      <c r="D182" s="120">
        <v>8.2520000000000007</v>
      </c>
      <c r="E182" s="120">
        <f>D182*4</f>
        <v>33.008000000000003</v>
      </c>
      <c r="F182" s="120">
        <f>E182*8</f>
        <v>264.06400000000002</v>
      </c>
      <c r="G182" s="120"/>
      <c r="H182" s="170"/>
      <c r="I182" s="19"/>
      <c r="J182" s="19"/>
      <c r="K182" s="171"/>
      <c r="L182" s="16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65">
        <f t="shared" si="54"/>
        <v>7.0057</v>
      </c>
      <c r="Q182" s="163">
        <v>0.24399999999999999</v>
      </c>
      <c r="R182" s="15">
        <v>5.0000000000000001E-3</v>
      </c>
      <c r="S182" s="165">
        <f t="shared" si="55"/>
        <v>0.249</v>
      </c>
      <c r="T182" s="188" t="s">
        <v>31</v>
      </c>
      <c r="U182" s="166" t="s">
        <v>568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67"/>
      <c r="AM182" s="127" t="s">
        <v>20</v>
      </c>
      <c r="AN182" s="121" t="str">
        <f>AO182</f>
        <v>D</v>
      </c>
      <c r="AO182" s="121" t="s">
        <v>21</v>
      </c>
      <c r="AP182" s="338">
        <v>45602</v>
      </c>
      <c r="AQ182" s="338">
        <f t="shared" ref="AQ182:AR182" si="76">AR182-2</f>
        <v>45607</v>
      </c>
      <c r="AR182" s="338">
        <f t="shared" si="76"/>
        <v>45609</v>
      </c>
      <c r="AS182" s="507">
        <v>45611</v>
      </c>
      <c r="AT182" s="25" t="s">
        <v>573</v>
      </c>
      <c r="AU182" s="168"/>
      <c r="AV182" s="127" t="s">
        <v>20</v>
      </c>
      <c r="AW182" s="15" t="s">
        <v>6</v>
      </c>
      <c r="AX182" s="268">
        <v>45706</v>
      </c>
      <c r="AY182" s="268">
        <v>45706</v>
      </c>
      <c r="AZ182" s="172" t="s">
        <v>538</v>
      </c>
      <c r="BA182" s="173"/>
      <c r="BB182" s="127" t="s">
        <v>20</v>
      </c>
      <c r="BC182" s="121"/>
      <c r="BD182" s="121" t="s">
        <v>21</v>
      </c>
      <c r="BE182" s="269">
        <f>BF182-2</f>
        <v>45733</v>
      </c>
      <c r="BF182" s="269">
        <v>45735</v>
      </c>
      <c r="BG182" s="15" t="s">
        <v>574</v>
      </c>
      <c r="BH182" s="179"/>
      <c r="BI182" s="127" t="s">
        <v>20</v>
      </c>
      <c r="BJ182" s="121"/>
      <c r="BK182" s="121"/>
      <c r="BL182" s="25">
        <v>1588</v>
      </c>
      <c r="BM182" s="24"/>
    </row>
    <row r="183" spans="1:65" ht="14.25" customHeight="1">
      <c r="A183" s="15" t="s">
        <v>0</v>
      </c>
      <c r="B183" s="19"/>
      <c r="C183" s="169"/>
      <c r="D183" s="120"/>
      <c r="E183" s="120"/>
      <c r="F183" s="120"/>
      <c r="G183" s="120"/>
      <c r="H183" s="170"/>
      <c r="I183" s="19"/>
      <c r="J183" s="19"/>
      <c r="K183" s="171"/>
      <c r="L183" s="163"/>
      <c r="M183" s="15"/>
      <c r="N183" s="15"/>
      <c r="O183" s="15"/>
      <c r="P183" s="165"/>
      <c r="Q183" s="163"/>
      <c r="R183" s="15"/>
      <c r="S183" s="165"/>
      <c r="T183" s="188"/>
      <c r="U183" s="188"/>
      <c r="V183" s="15">
        <v>365.87400000000002</v>
      </c>
      <c r="W183" s="15" t="s">
        <v>499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67"/>
      <c r="AM183" s="15"/>
      <c r="AN183" s="24"/>
      <c r="AO183" s="24"/>
      <c r="AP183" s="24"/>
      <c r="AQ183" s="24"/>
      <c r="AR183" s="24"/>
      <c r="AS183" s="25"/>
      <c r="AT183" s="25"/>
      <c r="AU183" s="168"/>
      <c r="AV183" s="15"/>
      <c r="AW183" s="24"/>
      <c r="AX183" s="268"/>
      <c r="AY183" s="268"/>
      <c r="AZ183" s="24"/>
      <c r="BA183" s="168"/>
      <c r="BB183" s="24"/>
      <c r="BC183" s="24"/>
      <c r="BD183" s="24"/>
      <c r="BE183" s="24"/>
      <c r="BF183" s="24"/>
      <c r="BG183" s="24"/>
      <c r="BH183" s="16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69" t="s">
        <v>42</v>
      </c>
      <c r="D184" s="120">
        <v>6.3620000000000001</v>
      </c>
      <c r="E184" s="120">
        <f>D184*4</f>
        <v>25.448</v>
      </c>
      <c r="F184" s="120">
        <f>E184*8</f>
        <v>203.584</v>
      </c>
      <c r="G184" s="120"/>
      <c r="H184" s="170"/>
      <c r="I184" s="19"/>
      <c r="J184" s="19"/>
      <c r="K184" s="171"/>
      <c r="L184" s="163">
        <v>2.25</v>
      </c>
      <c r="M184" s="15">
        <v>2.1880000000000002</v>
      </c>
      <c r="N184" s="15">
        <v>2E-3</v>
      </c>
      <c r="O184" s="15">
        <v>0.183</v>
      </c>
      <c r="P184" s="165">
        <f t="shared" si="54"/>
        <v>4.6230000000000002</v>
      </c>
      <c r="Q184" s="163">
        <v>0.24399999999999999</v>
      </c>
      <c r="R184" s="15">
        <v>5.0000000000000001E-3</v>
      </c>
      <c r="S184" s="165">
        <f t="shared" si="55"/>
        <v>0.249</v>
      </c>
      <c r="T184" s="188" t="s">
        <v>31</v>
      </c>
      <c r="U184" s="166" t="s">
        <v>568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67"/>
      <c r="AM184" s="127" t="s">
        <v>20</v>
      </c>
      <c r="AN184" s="121" t="str">
        <f>AO184</f>
        <v>D</v>
      </c>
      <c r="AO184" s="121" t="s">
        <v>21</v>
      </c>
      <c r="AP184" s="338">
        <v>45528</v>
      </c>
      <c r="AQ184" s="338">
        <v>45531</v>
      </c>
      <c r="AR184" s="338">
        <v>45536</v>
      </c>
      <c r="AS184" s="507">
        <v>45544</v>
      </c>
      <c r="AT184" s="25" t="s">
        <v>573</v>
      </c>
      <c r="AU184" s="168"/>
      <c r="AV184" s="127" t="s">
        <v>20</v>
      </c>
      <c r="AW184" s="15" t="s">
        <v>6</v>
      </c>
      <c r="AX184" s="268">
        <v>45706</v>
      </c>
      <c r="AY184" s="268">
        <v>45706</v>
      </c>
      <c r="AZ184" s="172" t="s">
        <v>538</v>
      </c>
      <c r="BA184" s="173"/>
      <c r="BB184" s="127" t="s">
        <v>20</v>
      </c>
      <c r="BC184" s="121"/>
      <c r="BD184" s="121" t="s">
        <v>21</v>
      </c>
      <c r="BE184" s="269">
        <f>BF184-2</f>
        <v>45727</v>
      </c>
      <c r="BF184" s="269">
        <v>45729</v>
      </c>
      <c r="BG184" s="15" t="s">
        <v>574</v>
      </c>
      <c r="BH184" s="179"/>
      <c r="BI184" s="127" t="s">
        <v>20</v>
      </c>
      <c r="BJ184" s="121"/>
      <c r="BK184" s="121"/>
      <c r="BL184" s="25">
        <v>980</v>
      </c>
      <c r="BM184" s="24"/>
    </row>
    <row r="185" spans="1:65" ht="14.25" customHeight="1">
      <c r="A185" s="15" t="s">
        <v>0</v>
      </c>
      <c r="B185" s="19"/>
      <c r="C185" s="169"/>
      <c r="D185" s="120"/>
      <c r="E185" s="120"/>
      <c r="F185" s="120"/>
      <c r="G185" s="120"/>
      <c r="H185" s="170"/>
      <c r="I185" s="19"/>
      <c r="J185" s="19"/>
      <c r="K185" s="171"/>
      <c r="L185" s="163"/>
      <c r="M185" s="15"/>
      <c r="N185" s="15"/>
      <c r="O185" s="15"/>
      <c r="P185" s="165"/>
      <c r="Q185" s="163"/>
      <c r="R185" s="15"/>
      <c r="S185" s="165"/>
      <c r="T185" s="188"/>
      <c r="U185" s="188"/>
      <c r="V185" s="15">
        <v>345.78399999999999</v>
      </c>
      <c r="W185" s="15" t="s">
        <v>499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67"/>
      <c r="AM185" s="15"/>
      <c r="AN185" s="24"/>
      <c r="AO185" s="24"/>
      <c r="AP185" s="24"/>
      <c r="AQ185" s="24"/>
      <c r="AR185" s="24"/>
      <c r="AS185" s="25"/>
      <c r="AT185" s="25"/>
      <c r="AU185" s="168"/>
      <c r="AV185" s="15"/>
      <c r="AW185" s="24"/>
      <c r="AX185" s="268"/>
      <c r="AY185" s="268"/>
      <c r="AZ185" s="24"/>
      <c r="BA185" s="168"/>
      <c r="BB185" s="24"/>
      <c r="BC185" s="24"/>
      <c r="BD185" s="24"/>
      <c r="BE185" s="24"/>
      <c r="BF185" s="24"/>
      <c r="BG185" s="24"/>
      <c r="BH185" s="16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69" t="s">
        <v>37</v>
      </c>
      <c r="D186" s="120">
        <v>6.992</v>
      </c>
      <c r="E186" s="120">
        <f>D186*4</f>
        <v>27.968</v>
      </c>
      <c r="F186" s="120">
        <f>E186*8</f>
        <v>223.744</v>
      </c>
      <c r="G186" s="120"/>
      <c r="H186" s="170"/>
      <c r="I186" s="19"/>
      <c r="J186" s="19"/>
      <c r="K186" s="171"/>
      <c r="L186" s="163">
        <v>2.6070000000000002</v>
      </c>
      <c r="M186" s="15">
        <v>2.657</v>
      </c>
      <c r="N186" s="15">
        <v>2E-3</v>
      </c>
      <c r="O186" s="15">
        <v>0.21299999999999999</v>
      </c>
      <c r="P186" s="165">
        <f t="shared" si="54"/>
        <v>5.4790000000000001</v>
      </c>
      <c r="Q186" s="163">
        <v>0.24399999999999999</v>
      </c>
      <c r="R186" s="15">
        <v>5.0000000000000001E-3</v>
      </c>
      <c r="S186" s="165">
        <f t="shared" si="55"/>
        <v>0.249</v>
      </c>
      <c r="T186" s="188" t="s">
        <v>31</v>
      </c>
      <c r="U186" s="166" t="s">
        <v>568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67"/>
      <c r="AM186" s="127" t="s">
        <v>20</v>
      </c>
      <c r="AN186" s="121" t="str">
        <f>AO186</f>
        <v>D</v>
      </c>
      <c r="AO186" s="121" t="s">
        <v>21</v>
      </c>
      <c r="AP186" s="338">
        <v>15.1</v>
      </c>
      <c r="AQ186" s="338">
        <v>18.100000000000001</v>
      </c>
      <c r="AR186" s="338">
        <v>45586</v>
      </c>
      <c r="AS186" s="507">
        <v>45587</v>
      </c>
      <c r="AT186" s="25" t="s">
        <v>573</v>
      </c>
      <c r="AU186" s="168"/>
      <c r="AV186" s="127" t="s">
        <v>20</v>
      </c>
      <c r="AW186" s="15" t="s">
        <v>543</v>
      </c>
      <c r="AX186" s="268">
        <v>45660</v>
      </c>
      <c r="AY186" s="268">
        <f>AX186</f>
        <v>45660</v>
      </c>
      <c r="AZ186" s="172" t="s">
        <v>538</v>
      </c>
      <c r="BA186" s="173"/>
      <c r="BB186" s="127" t="s">
        <v>20</v>
      </c>
      <c r="BC186" s="121"/>
      <c r="BD186" s="121" t="s">
        <v>21</v>
      </c>
      <c r="BE186" s="269">
        <f>BF186-2</f>
        <v>45770</v>
      </c>
      <c r="BF186" s="269">
        <v>45772</v>
      </c>
      <c r="BG186" s="25" t="s">
        <v>576</v>
      </c>
      <c r="BH186" s="177"/>
      <c r="BI186" s="127" t="s">
        <v>20</v>
      </c>
      <c r="BJ186" s="121"/>
      <c r="BK186" s="121"/>
      <c r="BL186" s="25">
        <v>1330</v>
      </c>
      <c r="BM186" s="24"/>
    </row>
    <row r="187" spans="1:65" ht="14.25" customHeight="1">
      <c r="A187" s="15" t="s">
        <v>0</v>
      </c>
      <c r="B187" s="19"/>
      <c r="C187" s="169"/>
      <c r="D187" s="120"/>
      <c r="E187" s="120"/>
      <c r="F187" s="120"/>
      <c r="G187" s="120"/>
      <c r="H187" s="170"/>
      <c r="I187" s="19"/>
      <c r="J187" s="19"/>
      <c r="K187" s="171"/>
      <c r="L187" s="163"/>
      <c r="M187" s="15"/>
      <c r="N187" s="15"/>
      <c r="O187" s="15"/>
      <c r="P187" s="165"/>
      <c r="Q187" s="163"/>
      <c r="R187" s="15"/>
      <c r="S187" s="165"/>
      <c r="T187" s="188"/>
      <c r="U187" s="188"/>
      <c r="V187" s="15">
        <v>299.33999999999997</v>
      </c>
      <c r="W187" s="15" t="s">
        <v>575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67"/>
      <c r="AM187" s="15"/>
      <c r="AN187" s="24"/>
      <c r="AO187" s="24"/>
      <c r="AP187" s="24"/>
      <c r="AQ187" s="24"/>
      <c r="AR187" s="24"/>
      <c r="AS187" s="25"/>
      <c r="AT187" s="25"/>
      <c r="AU187" s="168"/>
      <c r="AV187" s="15"/>
      <c r="AW187" s="24"/>
      <c r="AX187" s="268"/>
      <c r="AY187" s="268"/>
      <c r="AZ187" s="24"/>
      <c r="BA187" s="168"/>
      <c r="BB187" s="24"/>
      <c r="BC187" s="24"/>
      <c r="BD187" s="24"/>
      <c r="BE187" s="24"/>
      <c r="BF187" s="24"/>
      <c r="BG187" s="24"/>
      <c r="BH187" s="16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69" t="s">
        <v>39</v>
      </c>
      <c r="D188" s="120">
        <v>7.7080000000000002</v>
      </c>
      <c r="E188" s="120">
        <f>D188*4</f>
        <v>30.832000000000001</v>
      </c>
      <c r="F188" s="120">
        <f>E188*8</f>
        <v>246.65600000000001</v>
      </c>
      <c r="G188" s="120"/>
      <c r="H188" s="170"/>
      <c r="I188" s="19"/>
      <c r="J188" s="19"/>
      <c r="K188" s="171"/>
      <c r="L188" s="163">
        <v>4.0570000000000004</v>
      </c>
      <c r="M188" s="15">
        <v>2.48</v>
      </c>
      <c r="N188" s="15">
        <v>6.0000000000000001E-3</v>
      </c>
      <c r="O188" s="15">
        <v>0.36499999999999999</v>
      </c>
      <c r="P188" s="165">
        <f t="shared" si="54"/>
        <v>6.9080000000000013</v>
      </c>
      <c r="Q188" s="163">
        <v>0.436</v>
      </c>
      <c r="R188" s="15">
        <v>0.01</v>
      </c>
      <c r="S188" s="165">
        <f t="shared" si="55"/>
        <v>0.44600000000000001</v>
      </c>
      <c r="T188" s="188" t="s">
        <v>300</v>
      </c>
      <c r="U188" s="166" t="s">
        <v>568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67"/>
      <c r="AM188" s="127" t="s">
        <v>20</v>
      </c>
      <c r="AN188" s="121" t="str">
        <f>AO188</f>
        <v>D</v>
      </c>
      <c r="AO188" s="121" t="s">
        <v>21</v>
      </c>
      <c r="AP188" s="338">
        <v>45575</v>
      </c>
      <c r="AQ188" s="338">
        <v>45578</v>
      </c>
      <c r="AR188" s="338">
        <v>45583</v>
      </c>
      <c r="AS188" s="507">
        <v>45585</v>
      </c>
      <c r="AT188" s="25" t="s">
        <v>573</v>
      </c>
      <c r="AU188" s="168"/>
      <c r="AV188" s="127" t="s">
        <v>20</v>
      </c>
      <c r="AW188" s="15" t="s">
        <v>6</v>
      </c>
      <c r="AX188" s="268">
        <v>45706</v>
      </c>
      <c r="AY188" s="268">
        <v>45706</v>
      </c>
      <c r="AZ188" s="172" t="s">
        <v>538</v>
      </c>
      <c r="BA188" s="173"/>
      <c r="BB188" s="127" t="s">
        <v>20</v>
      </c>
      <c r="BC188" s="121"/>
      <c r="BD188" s="121" t="s">
        <v>570</v>
      </c>
      <c r="BE188" s="269">
        <f>BF188-2</f>
        <v>45777</v>
      </c>
      <c r="BF188" s="269">
        <v>45779</v>
      </c>
      <c r="BG188" s="25" t="s">
        <v>576</v>
      </c>
      <c r="BH188" s="179"/>
      <c r="BI188" s="127" t="s">
        <v>20</v>
      </c>
      <c r="BJ188" s="121"/>
      <c r="BK188" s="121"/>
      <c r="BL188" s="25">
        <v>1001</v>
      </c>
      <c r="BM188" s="24"/>
    </row>
    <row r="189" spans="1:65" ht="14.25" customHeight="1">
      <c r="A189" s="15" t="s">
        <v>0</v>
      </c>
      <c r="B189" s="19"/>
      <c r="C189" s="169"/>
      <c r="D189" s="120"/>
      <c r="E189" s="120"/>
      <c r="F189" s="120"/>
      <c r="G189" s="120"/>
      <c r="H189" s="170"/>
      <c r="I189" s="19"/>
      <c r="J189" s="19"/>
      <c r="K189" s="171"/>
      <c r="L189" s="163"/>
      <c r="M189" s="15"/>
      <c r="N189" s="15"/>
      <c r="O189" s="15"/>
      <c r="P189" s="165"/>
      <c r="Q189" s="163"/>
      <c r="R189" s="15"/>
      <c r="S189" s="165"/>
      <c r="T189" s="166"/>
      <c r="U189" s="166"/>
      <c r="V189" s="16">
        <v>296</v>
      </c>
      <c r="W189" s="15" t="s">
        <v>499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67"/>
      <c r="AM189" s="15"/>
      <c r="AN189" s="24"/>
      <c r="AO189" s="24"/>
      <c r="AP189" s="24"/>
      <c r="AQ189" s="24"/>
      <c r="AR189" s="24"/>
      <c r="AS189" s="25"/>
      <c r="AT189" s="25"/>
      <c r="AU189" s="168"/>
      <c r="AV189" s="15"/>
      <c r="AW189" s="24"/>
      <c r="AX189" s="268"/>
      <c r="AY189" s="268"/>
      <c r="AZ189" s="24"/>
      <c r="BA189" s="168"/>
      <c r="BB189" s="24"/>
      <c r="BC189" s="24"/>
      <c r="BD189" s="24"/>
      <c r="BE189" s="24"/>
      <c r="BF189" s="24"/>
      <c r="BG189" s="24"/>
      <c r="BH189" s="16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69" t="s">
        <v>42</v>
      </c>
      <c r="D190" s="120">
        <v>6.3620000000000001</v>
      </c>
      <c r="E190" s="120">
        <f>D190*4</f>
        <v>25.448</v>
      </c>
      <c r="F190" s="120">
        <f>E190*8</f>
        <v>203.584</v>
      </c>
      <c r="G190" s="120"/>
      <c r="H190" s="170"/>
      <c r="I190" s="19"/>
      <c r="J190" s="19"/>
      <c r="K190" s="171"/>
      <c r="L190" s="163">
        <v>2.25</v>
      </c>
      <c r="M190" s="15">
        <v>2.1880000000000002</v>
      </c>
      <c r="N190" s="15">
        <v>2E-3</v>
      </c>
      <c r="O190" s="15">
        <v>0.183</v>
      </c>
      <c r="P190" s="165">
        <f t="shared" si="54"/>
        <v>4.6230000000000002</v>
      </c>
      <c r="Q190" s="163">
        <v>0.24399999999999999</v>
      </c>
      <c r="R190" s="15">
        <v>5.0000000000000001E-3</v>
      </c>
      <c r="S190" s="165">
        <f t="shared" si="55"/>
        <v>0.249</v>
      </c>
      <c r="T190" s="166" t="s">
        <v>31</v>
      </c>
      <c r="U190" s="166" t="s">
        <v>535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67"/>
      <c r="AM190" s="127" t="s">
        <v>20</v>
      </c>
      <c r="AN190" s="121" t="str">
        <f>AO190</f>
        <v>D</v>
      </c>
      <c r="AO190" s="121" t="s">
        <v>21</v>
      </c>
      <c r="AP190" s="338">
        <v>45585</v>
      </c>
      <c r="AQ190" s="338">
        <v>45588</v>
      </c>
      <c r="AR190" s="338">
        <v>45590</v>
      </c>
      <c r="AS190" s="507">
        <v>45592</v>
      </c>
      <c r="AT190" s="25" t="s">
        <v>573</v>
      </c>
      <c r="AU190" s="168"/>
      <c r="AV190" s="127" t="s">
        <v>20</v>
      </c>
      <c r="AW190" s="15" t="s">
        <v>6</v>
      </c>
      <c r="AX190" s="268">
        <f>AY190-2</f>
        <v>45718</v>
      </c>
      <c r="AY190" s="268">
        <v>45720</v>
      </c>
      <c r="AZ190" s="172" t="s">
        <v>538</v>
      </c>
      <c r="BA190" s="173"/>
      <c r="BB190" s="127" t="s">
        <v>20</v>
      </c>
      <c r="BC190" s="121"/>
      <c r="BD190" s="121" t="s">
        <v>21</v>
      </c>
      <c r="BE190" s="269">
        <f>BF190-1</f>
        <v>45729</v>
      </c>
      <c r="BF190" s="269">
        <v>45730</v>
      </c>
      <c r="BG190" s="17" t="s">
        <v>577</v>
      </c>
      <c r="BH190" s="179"/>
      <c r="BI190" s="127" t="s">
        <v>20</v>
      </c>
      <c r="BJ190" s="121"/>
      <c r="BK190" s="121"/>
      <c r="BL190" s="25">
        <v>980</v>
      </c>
      <c r="BM190" s="24"/>
    </row>
    <row r="191" spans="1:65" ht="14.25" customHeight="1">
      <c r="A191" s="15" t="s">
        <v>0</v>
      </c>
      <c r="B191" s="19"/>
      <c r="C191" s="169"/>
      <c r="D191" s="120"/>
      <c r="E191" s="120"/>
      <c r="F191" s="120"/>
      <c r="G191" s="120"/>
      <c r="H191" s="170"/>
      <c r="I191" s="19"/>
      <c r="J191" s="19"/>
      <c r="K191" s="171"/>
      <c r="L191" s="163"/>
      <c r="M191" s="15"/>
      <c r="N191" s="15"/>
      <c r="O191" s="15"/>
      <c r="P191" s="165"/>
      <c r="Q191" s="163"/>
      <c r="R191" s="15"/>
      <c r="S191" s="165"/>
      <c r="T191" s="166"/>
      <c r="U191" s="166"/>
      <c r="V191" s="16">
        <v>229.88900000000001</v>
      </c>
      <c r="W191" s="15" t="s">
        <v>499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67"/>
      <c r="AM191" s="15"/>
      <c r="AN191" s="24"/>
      <c r="AO191" s="24"/>
      <c r="AP191" s="24"/>
      <c r="AQ191" s="24"/>
      <c r="AR191" s="24"/>
      <c r="AS191" s="25"/>
      <c r="AT191" s="25"/>
      <c r="AU191" s="168"/>
      <c r="AV191" s="15"/>
      <c r="AW191" s="24"/>
      <c r="AX191" s="268"/>
      <c r="AY191" s="268"/>
      <c r="AZ191" s="24"/>
      <c r="BA191" s="168"/>
      <c r="BB191" s="24"/>
      <c r="BC191" s="24"/>
      <c r="BD191" s="24"/>
      <c r="BE191" s="24"/>
      <c r="BF191" s="24"/>
      <c r="BG191" s="24"/>
      <c r="BH191" s="16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69" t="s">
        <v>34</v>
      </c>
      <c r="D192" s="120">
        <v>9.6539999999999999</v>
      </c>
      <c r="E192" s="120">
        <f>D192*4</f>
        <v>38.616</v>
      </c>
      <c r="F192" s="120">
        <f>E192*8</f>
        <v>308.928</v>
      </c>
      <c r="G192" s="120"/>
      <c r="H192" s="170"/>
      <c r="I192" s="19"/>
      <c r="J192" s="19"/>
      <c r="K192" s="171"/>
      <c r="L192" s="163">
        <v>4.8070000000000004</v>
      </c>
      <c r="M192" s="15">
        <v>4.016</v>
      </c>
      <c r="N192" s="15">
        <v>7.0000000000000001E-3</v>
      </c>
      <c r="O192" s="15">
        <v>0.43099999999999999</v>
      </c>
      <c r="P192" s="165">
        <f t="shared" si="54"/>
        <v>9.2609999999999992</v>
      </c>
      <c r="Q192" s="163">
        <v>0.55700000000000005</v>
      </c>
      <c r="R192" s="15">
        <v>0.01</v>
      </c>
      <c r="S192" s="165">
        <f t="shared" si="55"/>
        <v>0.56700000000000006</v>
      </c>
      <c r="T192" s="166" t="s">
        <v>163</v>
      </c>
      <c r="U192" s="166" t="s">
        <v>535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67"/>
      <c r="AM192" s="127" t="s">
        <v>20</v>
      </c>
      <c r="AN192" s="121" t="str">
        <f>AO192</f>
        <v>D</v>
      </c>
      <c r="AO192" s="121" t="s">
        <v>21</v>
      </c>
      <c r="AP192" s="338">
        <v>45566</v>
      </c>
      <c r="AQ192" s="338">
        <v>45567</v>
      </c>
      <c r="AR192" s="338">
        <v>45575</v>
      </c>
      <c r="AS192" s="507">
        <v>45584</v>
      </c>
      <c r="AT192" s="25" t="s">
        <v>573</v>
      </c>
      <c r="AU192" s="168"/>
      <c r="AV192" s="127" t="s">
        <v>20</v>
      </c>
      <c r="AW192" s="15" t="s">
        <v>6</v>
      </c>
      <c r="AX192" s="268">
        <v>45706</v>
      </c>
      <c r="AY192" s="268">
        <v>45706</v>
      </c>
      <c r="AZ192" s="172" t="s">
        <v>538</v>
      </c>
      <c r="BA192" s="173"/>
      <c r="BB192" s="127" t="s">
        <v>20</v>
      </c>
      <c r="BC192" s="121" t="s">
        <v>539</v>
      </c>
      <c r="BD192" s="121" t="s">
        <v>21</v>
      </c>
      <c r="BE192" s="269">
        <f>BF192-2</f>
        <v>45736</v>
      </c>
      <c r="BF192" s="269">
        <v>45738</v>
      </c>
      <c r="BG192" s="15" t="s">
        <v>574</v>
      </c>
      <c r="BH192" s="177"/>
      <c r="BI192" s="127" t="s">
        <v>20</v>
      </c>
      <c r="BJ192" s="121"/>
      <c r="BK192" s="121"/>
      <c r="BL192" s="25">
        <v>1202</v>
      </c>
      <c r="BM192" s="24"/>
    </row>
    <row r="193" spans="1:68" ht="14.25" customHeight="1">
      <c r="A193" s="15" t="s">
        <v>0</v>
      </c>
      <c r="B193" s="19"/>
      <c r="C193" s="169"/>
      <c r="D193" s="120"/>
      <c r="E193" s="120"/>
      <c r="F193" s="120"/>
      <c r="G193" s="120"/>
      <c r="H193" s="170"/>
      <c r="I193" s="19"/>
      <c r="J193" s="19"/>
      <c r="K193" s="171"/>
      <c r="L193" s="163"/>
      <c r="M193" s="15"/>
      <c r="N193" s="15"/>
      <c r="O193" s="15"/>
      <c r="P193" s="165"/>
      <c r="Q193" s="163"/>
      <c r="R193" s="15"/>
      <c r="S193" s="165"/>
      <c r="T193" s="166"/>
      <c r="U193" s="166"/>
      <c r="V193" s="16">
        <v>356.279</v>
      </c>
      <c r="W193" s="15" t="s">
        <v>578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67"/>
      <c r="AM193" s="15"/>
      <c r="AN193" s="24"/>
      <c r="AO193" s="24"/>
      <c r="AP193" s="24"/>
      <c r="AQ193" s="24"/>
      <c r="AR193" s="24"/>
      <c r="AS193" s="25"/>
      <c r="AT193" s="25"/>
      <c r="AU193" s="168"/>
      <c r="AV193" s="15"/>
      <c r="AW193" s="24"/>
      <c r="AX193" s="268"/>
      <c r="AY193" s="268"/>
      <c r="AZ193" s="24"/>
      <c r="BA193" s="168"/>
      <c r="BB193" s="24"/>
      <c r="BC193" s="24"/>
      <c r="BD193" s="24"/>
      <c r="BE193" s="24"/>
      <c r="BF193" s="24"/>
      <c r="BG193" s="24"/>
      <c r="BH193" s="16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69" t="s">
        <v>46</v>
      </c>
      <c r="D194" s="120">
        <v>8.6259999999999994</v>
      </c>
      <c r="E194" s="120">
        <f>D194*4</f>
        <v>34.503999999999998</v>
      </c>
      <c r="F194" s="120">
        <f>E194*8</f>
        <v>276.03199999999998</v>
      </c>
      <c r="G194" s="120"/>
      <c r="H194" s="170"/>
      <c r="I194" s="19"/>
      <c r="J194" s="19"/>
      <c r="K194" s="171"/>
      <c r="L194" s="16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65">
        <f t="shared" si="54"/>
        <v>8.2024000000000008</v>
      </c>
      <c r="Q194" s="163">
        <v>0.436</v>
      </c>
      <c r="R194" s="15">
        <v>0.01</v>
      </c>
      <c r="S194" s="165">
        <f t="shared" si="55"/>
        <v>0.44600000000000001</v>
      </c>
      <c r="T194" s="166" t="s">
        <v>165</v>
      </c>
      <c r="U194" s="166" t="s">
        <v>535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67"/>
      <c r="AM194" s="127" t="s">
        <v>20</v>
      </c>
      <c r="AN194" s="121" t="s">
        <v>21</v>
      </c>
      <c r="AO194" s="121" t="s">
        <v>21</v>
      </c>
      <c r="AP194" s="338">
        <f t="shared" ref="AP194:AR194" si="77">AQ194-2</f>
        <v>45749</v>
      </c>
      <c r="AQ194" s="338">
        <f t="shared" si="77"/>
        <v>45751</v>
      </c>
      <c r="AR194" s="338">
        <f t="shared" si="77"/>
        <v>45753</v>
      </c>
      <c r="AS194" s="507">
        <v>45755</v>
      </c>
      <c r="AT194" s="25" t="s">
        <v>548</v>
      </c>
      <c r="AU194" s="168"/>
      <c r="AV194" s="127" t="s">
        <v>20</v>
      </c>
      <c r="AW194" s="15" t="s">
        <v>543</v>
      </c>
      <c r="AX194" s="268">
        <f>AY194</f>
        <v>45661</v>
      </c>
      <c r="AY194" s="268">
        <v>45661</v>
      </c>
      <c r="AZ194" s="172" t="s">
        <v>538</v>
      </c>
      <c r="BA194" s="173"/>
      <c r="BB194" s="127" t="s">
        <v>20</v>
      </c>
      <c r="BC194" s="121" t="s">
        <v>539</v>
      </c>
      <c r="BD194" s="121" t="s">
        <v>21</v>
      </c>
      <c r="BE194" s="269">
        <f>BF194-1</f>
        <v>45800</v>
      </c>
      <c r="BF194" s="269">
        <v>45801</v>
      </c>
      <c r="BG194" s="15" t="s">
        <v>579</v>
      </c>
      <c r="BH194" s="177"/>
      <c r="BI194" s="127" t="s">
        <v>20</v>
      </c>
      <c r="BJ194" s="121"/>
      <c r="BK194" s="12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69"/>
      <c r="D195" s="120"/>
      <c r="E195" s="120"/>
      <c r="F195" s="120"/>
      <c r="G195" s="120"/>
      <c r="H195" s="170"/>
      <c r="I195" s="19"/>
      <c r="J195" s="19"/>
      <c r="K195" s="171"/>
      <c r="L195" s="163"/>
      <c r="M195" s="15"/>
      <c r="N195" s="15"/>
      <c r="O195" s="15"/>
      <c r="P195" s="165"/>
      <c r="Q195" s="163"/>
      <c r="R195" s="15"/>
      <c r="S195" s="165"/>
      <c r="T195" s="166"/>
      <c r="U195" s="166"/>
      <c r="V195" s="16">
        <v>314</v>
      </c>
      <c r="W195" s="15" t="s">
        <v>564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67"/>
      <c r="AM195" s="15"/>
      <c r="AN195" s="24"/>
      <c r="AO195" s="24"/>
      <c r="AP195" s="24"/>
      <c r="AQ195" s="24"/>
      <c r="AR195" s="24"/>
      <c r="AS195" s="25"/>
      <c r="AT195" s="25"/>
      <c r="AU195" s="168"/>
      <c r="AV195" s="15"/>
      <c r="AW195" s="24"/>
      <c r="AX195" s="268"/>
      <c r="AY195" s="268"/>
      <c r="AZ195" s="24"/>
      <c r="BA195" s="168"/>
      <c r="BB195" s="15"/>
      <c r="BC195" s="24"/>
      <c r="BD195" s="24"/>
      <c r="BE195" s="24"/>
      <c r="BF195" s="24"/>
      <c r="BG195" s="24"/>
      <c r="BH195" s="16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69" t="s">
        <v>37</v>
      </c>
      <c r="D196" s="120">
        <v>6.992</v>
      </c>
      <c r="E196" s="120">
        <f>D196*4</f>
        <v>27.968</v>
      </c>
      <c r="F196" s="120">
        <f>E196*8</f>
        <v>223.744</v>
      </c>
      <c r="G196" s="120"/>
      <c r="H196" s="170"/>
      <c r="I196" s="19"/>
      <c r="J196" s="19"/>
      <c r="K196" s="171"/>
      <c r="L196" s="163">
        <v>2.6070000000000002</v>
      </c>
      <c r="M196" s="15">
        <v>2.657</v>
      </c>
      <c r="N196" s="15">
        <v>2E-3</v>
      </c>
      <c r="O196" s="15">
        <v>0.21299999999999999</v>
      </c>
      <c r="P196" s="165">
        <f t="shared" si="54"/>
        <v>5.4790000000000001</v>
      </c>
      <c r="Q196" s="163">
        <v>0.24399999999999999</v>
      </c>
      <c r="R196" s="15">
        <v>5.0000000000000001E-3</v>
      </c>
      <c r="S196" s="165">
        <f t="shared" si="55"/>
        <v>0.249</v>
      </c>
      <c r="T196" s="166" t="s">
        <v>31</v>
      </c>
      <c r="U196" s="166" t="s">
        <v>535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67"/>
      <c r="AM196" s="127" t="s">
        <v>20</v>
      </c>
      <c r="AN196" s="121" t="s">
        <v>21</v>
      </c>
      <c r="AO196" s="121" t="s">
        <v>21</v>
      </c>
      <c r="AP196" s="338">
        <f t="shared" ref="AP196:AR196" si="78">AQ196-2</f>
        <v>45963</v>
      </c>
      <c r="AQ196" s="338">
        <f t="shared" si="78"/>
        <v>45965</v>
      </c>
      <c r="AR196" s="338">
        <f t="shared" si="78"/>
        <v>45967</v>
      </c>
      <c r="AS196" s="507">
        <v>45969</v>
      </c>
      <c r="AT196" s="15" t="s">
        <v>537</v>
      </c>
      <c r="AU196" s="168"/>
      <c r="AV196" s="127" t="s">
        <v>20</v>
      </c>
      <c r="AW196" s="15"/>
      <c r="AX196" s="268">
        <f>AY196-2</f>
        <v>45973</v>
      </c>
      <c r="AY196" s="268">
        <v>45975</v>
      </c>
      <c r="AZ196" s="172" t="s">
        <v>505</v>
      </c>
      <c r="BA196" s="173"/>
      <c r="BB196" s="127" t="s">
        <v>20</v>
      </c>
      <c r="BC196" s="121"/>
      <c r="BD196" s="121"/>
      <c r="BE196" s="269">
        <f>BF196-2</f>
        <v>45971</v>
      </c>
      <c r="BF196" s="269">
        <v>45973</v>
      </c>
      <c r="BG196" s="15" t="s">
        <v>580</v>
      </c>
      <c r="BH196" s="177"/>
      <c r="BI196" s="127" t="s">
        <v>20</v>
      </c>
      <c r="BJ196" s="121"/>
      <c r="BK196" s="121"/>
      <c r="BL196" s="25">
        <v>1330</v>
      </c>
      <c r="BM196" s="24" t="s">
        <v>741</v>
      </c>
      <c r="BN196" s="15"/>
      <c r="BO196" s="15"/>
    </row>
    <row r="197" spans="1:68" ht="14.25" customHeight="1">
      <c r="A197" s="15" t="s">
        <v>0</v>
      </c>
      <c r="B197" s="19"/>
      <c r="C197" s="169"/>
      <c r="D197" s="120"/>
      <c r="E197" s="120"/>
      <c r="F197" s="120"/>
      <c r="G197" s="120"/>
      <c r="H197" s="170"/>
      <c r="I197" s="19"/>
      <c r="J197" s="19"/>
      <c r="K197" s="171"/>
      <c r="L197" s="163"/>
      <c r="M197" s="15"/>
      <c r="N197" s="15"/>
      <c r="O197" s="15"/>
      <c r="P197" s="165"/>
      <c r="Q197" s="163"/>
      <c r="R197" s="15"/>
      <c r="S197" s="165"/>
      <c r="T197" s="166"/>
      <c r="U197" s="166"/>
      <c r="V197" s="16">
        <v>353.589</v>
      </c>
      <c r="W197" s="15" t="s">
        <v>536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67"/>
      <c r="AM197" s="15"/>
      <c r="AN197" s="24"/>
      <c r="AO197" s="24"/>
      <c r="AP197" s="24"/>
      <c r="AQ197" s="24"/>
      <c r="AR197" s="24"/>
      <c r="AS197" s="25"/>
      <c r="AT197" s="25"/>
      <c r="AU197" s="168"/>
      <c r="AV197" s="15"/>
      <c r="AW197" s="24"/>
      <c r="AX197" s="268"/>
      <c r="AY197" s="268"/>
      <c r="AZ197" s="24"/>
      <c r="BA197" s="168"/>
      <c r="BB197" s="24"/>
      <c r="BC197" s="24"/>
      <c r="BD197" s="24"/>
      <c r="BE197" s="24"/>
      <c r="BF197" s="24"/>
      <c r="BG197" s="24"/>
      <c r="BH197" s="16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69" t="s">
        <v>65</v>
      </c>
      <c r="D198" s="120">
        <v>9.5440000000000005</v>
      </c>
      <c r="E198" s="120">
        <f>D198*4</f>
        <v>38.176000000000002</v>
      </c>
      <c r="F198" s="120">
        <f>E198*8</f>
        <v>305.40800000000002</v>
      </c>
      <c r="G198" s="120"/>
      <c r="H198" s="170"/>
      <c r="I198" s="19"/>
      <c r="J198" s="19"/>
      <c r="K198" s="171"/>
      <c r="L198" s="163">
        <v>4.9380000000000006</v>
      </c>
      <c r="M198" s="15">
        <v>3.609</v>
      </c>
      <c r="N198" s="15">
        <v>6.3E-3</v>
      </c>
      <c r="O198" s="15">
        <v>0.42399999999999999</v>
      </c>
      <c r="P198" s="165">
        <f t="shared" si="54"/>
        <v>8.9772999999999996</v>
      </c>
      <c r="Q198" s="163">
        <v>0.436</v>
      </c>
      <c r="R198" s="15">
        <v>0.01</v>
      </c>
      <c r="S198" s="165">
        <f t="shared" si="55"/>
        <v>0.44600000000000001</v>
      </c>
      <c r="T198" s="166" t="s">
        <v>168</v>
      </c>
      <c r="U198" s="166" t="s">
        <v>535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67"/>
      <c r="AM198" s="127" t="s">
        <v>20</v>
      </c>
      <c r="AN198" s="121" t="str">
        <f>AO198</f>
        <v>D</v>
      </c>
      <c r="AO198" s="121" t="s">
        <v>21</v>
      </c>
      <c r="AP198" s="338">
        <v>45593</v>
      </c>
      <c r="AQ198" s="338">
        <f>AR198-3</f>
        <v>45599</v>
      </c>
      <c r="AR198" s="338">
        <f>AS198-2</f>
        <v>45602</v>
      </c>
      <c r="AS198" s="507">
        <v>45604</v>
      </c>
      <c r="AT198" s="25" t="s">
        <v>573</v>
      </c>
      <c r="AU198" s="168"/>
      <c r="AV198" s="127" t="s">
        <v>20</v>
      </c>
      <c r="AW198" s="15" t="s">
        <v>6</v>
      </c>
      <c r="AX198" s="268">
        <v>45706</v>
      </c>
      <c r="AY198" s="268">
        <v>45706</v>
      </c>
      <c r="AZ198" s="172" t="s">
        <v>538</v>
      </c>
      <c r="BA198" s="173"/>
      <c r="BB198" s="127" t="s">
        <v>20</v>
      </c>
      <c r="BC198" s="121" t="s">
        <v>539</v>
      </c>
      <c r="BD198" s="121" t="s">
        <v>581</v>
      </c>
      <c r="BE198" s="269">
        <f>BF198</f>
        <v>45785</v>
      </c>
      <c r="BF198" s="269">
        <v>45785</v>
      </c>
      <c r="BG198" s="15" t="s">
        <v>579</v>
      </c>
      <c r="BH198" s="177"/>
      <c r="BI198" s="127" t="s">
        <v>20</v>
      </c>
      <c r="BJ198" s="121"/>
      <c r="BK198" s="121"/>
      <c r="BL198" s="25">
        <v>1657</v>
      </c>
      <c r="BM198" s="24" t="s">
        <v>741</v>
      </c>
      <c r="BN198" s="15"/>
      <c r="BO198" s="15"/>
    </row>
    <row r="199" spans="1:68" ht="14.25" customHeight="1">
      <c r="A199" s="15" t="s">
        <v>0</v>
      </c>
      <c r="B199" s="19"/>
      <c r="C199" s="169"/>
      <c r="D199" s="120"/>
      <c r="E199" s="120"/>
      <c r="F199" s="120"/>
      <c r="G199" s="120"/>
      <c r="H199" s="170"/>
      <c r="I199" s="19"/>
      <c r="J199" s="19"/>
      <c r="K199" s="171"/>
      <c r="L199" s="163"/>
      <c r="M199" s="15"/>
      <c r="N199" s="15"/>
      <c r="O199" s="15"/>
      <c r="P199" s="165"/>
      <c r="Q199" s="163"/>
      <c r="R199" s="15"/>
      <c r="S199" s="165"/>
      <c r="T199" s="166"/>
      <c r="U199" s="166"/>
      <c r="V199" s="16">
        <v>362</v>
      </c>
      <c r="W199" s="15" t="s">
        <v>499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67"/>
      <c r="AM199" s="15"/>
      <c r="AN199" s="24"/>
      <c r="AO199" s="24"/>
      <c r="AP199" s="24"/>
      <c r="AQ199" s="24"/>
      <c r="AR199" s="24"/>
      <c r="AS199" s="25"/>
      <c r="AT199" s="25"/>
      <c r="AU199" s="168"/>
      <c r="AV199" s="15"/>
      <c r="AW199" s="24"/>
      <c r="AX199" s="268"/>
      <c r="AY199" s="268"/>
      <c r="AZ199" s="24"/>
      <c r="BA199" s="168"/>
      <c r="BB199" s="24"/>
      <c r="BC199" s="24"/>
      <c r="BD199" s="24"/>
      <c r="BE199" s="24"/>
      <c r="BF199" s="24"/>
      <c r="BG199" s="24"/>
      <c r="BH199" s="16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69" t="s">
        <v>89</v>
      </c>
      <c r="D200" s="120">
        <v>8.6300000000000008</v>
      </c>
      <c r="E200" s="120">
        <f>D200*4</f>
        <v>34.520000000000003</v>
      </c>
      <c r="F200" s="120">
        <f>E200*8</f>
        <v>276.16000000000003</v>
      </c>
      <c r="G200" s="120"/>
      <c r="H200" s="170"/>
      <c r="I200" s="19"/>
      <c r="J200" s="19"/>
      <c r="K200" s="171"/>
      <c r="L200" s="163">
        <v>3.867</v>
      </c>
      <c r="M200" s="15">
        <v>3.306</v>
      </c>
      <c r="N200" s="15">
        <v>5.0000000000000001E-3</v>
      </c>
      <c r="O200" s="15">
        <v>0.27600000000000002</v>
      </c>
      <c r="P200" s="165">
        <f t="shared" si="54"/>
        <v>7.4539999999999997</v>
      </c>
      <c r="Q200" s="163">
        <v>0.36299999999999999</v>
      </c>
      <c r="R200" s="15">
        <v>6.0000000000000001E-3</v>
      </c>
      <c r="S200" s="165">
        <f t="shared" si="55"/>
        <v>0.36899999999999999</v>
      </c>
      <c r="T200" s="166" t="s">
        <v>31</v>
      </c>
      <c r="U200" s="166" t="s">
        <v>535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67"/>
      <c r="AM200" s="127" t="s">
        <v>20</v>
      </c>
      <c r="AN200" s="121"/>
      <c r="AO200" s="121"/>
      <c r="AP200" s="338">
        <f>AQ200-2</f>
        <v>45900</v>
      </c>
      <c r="AQ200" s="338">
        <f>AR200-3</f>
        <v>45902</v>
      </c>
      <c r="AR200" s="338">
        <f>AS200-2</f>
        <v>45905</v>
      </c>
      <c r="AS200" s="507">
        <v>45907</v>
      </c>
      <c r="AT200" s="25" t="s">
        <v>580</v>
      </c>
      <c r="AU200" s="173"/>
      <c r="AV200" s="127" t="s">
        <v>20</v>
      </c>
      <c r="AW200" s="15" t="s">
        <v>6</v>
      </c>
      <c r="AX200" s="268">
        <f>AS200+2</f>
        <v>45909</v>
      </c>
      <c r="AY200" s="268">
        <f>AX200</f>
        <v>45909</v>
      </c>
      <c r="AZ200" s="172" t="s">
        <v>582</v>
      </c>
      <c r="BA200" s="173"/>
      <c r="BB200" s="127" t="s">
        <v>20</v>
      </c>
      <c r="BC200" s="121"/>
      <c r="BD200" s="121"/>
      <c r="BE200" s="269">
        <f>BF200</f>
        <v>45956</v>
      </c>
      <c r="BF200" s="269">
        <v>45956</v>
      </c>
      <c r="BG200" s="15" t="s">
        <v>579</v>
      </c>
      <c r="BH200" s="177"/>
      <c r="BI200" s="127" t="s">
        <v>20</v>
      </c>
      <c r="BJ200" s="121"/>
      <c r="BK200" s="121"/>
      <c r="BL200" s="25">
        <v>1560</v>
      </c>
      <c r="BM200" s="24"/>
      <c r="BN200" s="185" t="s">
        <v>551</v>
      </c>
      <c r="BO200" s="182"/>
      <c r="BP200" s="130" t="s">
        <v>553</v>
      </c>
    </row>
    <row r="201" spans="1:68" ht="14.25" customHeight="1">
      <c r="A201" s="15" t="s">
        <v>0</v>
      </c>
      <c r="B201" s="19"/>
      <c r="C201" s="169"/>
      <c r="D201" s="120"/>
      <c r="E201" s="120"/>
      <c r="F201" s="120"/>
      <c r="G201" s="120"/>
      <c r="H201" s="170"/>
      <c r="I201" s="19"/>
      <c r="J201" s="19"/>
      <c r="K201" s="171"/>
      <c r="L201" s="163"/>
      <c r="M201" s="15"/>
      <c r="N201" s="15"/>
      <c r="O201" s="15"/>
      <c r="P201" s="165"/>
      <c r="Q201" s="163"/>
      <c r="R201" s="15"/>
      <c r="S201" s="165"/>
      <c r="T201" s="166"/>
      <c r="U201" s="166"/>
      <c r="V201" s="16">
        <v>387</v>
      </c>
      <c r="W201" s="15" t="s">
        <v>499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67"/>
      <c r="AM201" s="15"/>
      <c r="AN201" s="24"/>
      <c r="AO201" s="24"/>
      <c r="AP201" s="24"/>
      <c r="AQ201" s="24"/>
      <c r="AR201" s="24"/>
      <c r="AS201" s="25"/>
      <c r="AT201" s="25"/>
      <c r="AU201" s="168"/>
      <c r="AV201" s="15"/>
      <c r="AW201" s="24"/>
      <c r="AX201" s="268"/>
      <c r="AY201" s="268"/>
      <c r="AZ201" s="24"/>
      <c r="BA201" s="168"/>
      <c r="BB201" s="24"/>
      <c r="BC201" s="24"/>
      <c r="BD201" s="24"/>
      <c r="BE201" s="24"/>
      <c r="BF201" s="24"/>
      <c r="BG201" s="24"/>
      <c r="BH201" s="16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69" t="s">
        <v>56</v>
      </c>
      <c r="D202" s="120">
        <v>7.6219999999999999</v>
      </c>
      <c r="E202" s="120">
        <f>D202*4</f>
        <v>30.488</v>
      </c>
      <c r="F202" s="120">
        <f>E202*8</f>
        <v>243.904</v>
      </c>
      <c r="G202" s="120"/>
      <c r="H202" s="170"/>
      <c r="I202" s="19"/>
      <c r="J202" s="19"/>
      <c r="K202" s="171"/>
      <c r="L202" s="163">
        <v>2.6789999999999998</v>
      </c>
      <c r="M202" s="15">
        <v>3.133</v>
      </c>
      <c r="N202" s="15">
        <v>2.5000000000000001E-3</v>
      </c>
      <c r="O202" s="15">
        <v>0.23299999999999998</v>
      </c>
      <c r="P202" s="165">
        <f t="shared" si="54"/>
        <v>6.0474999999999994</v>
      </c>
      <c r="Q202" s="163">
        <v>0.24399999999999999</v>
      </c>
      <c r="R202" s="15">
        <v>5.0000000000000001E-3</v>
      </c>
      <c r="S202" s="165">
        <f t="shared" si="55"/>
        <v>0.249</v>
      </c>
      <c r="T202" s="166" t="s">
        <v>31</v>
      </c>
      <c r="U202" s="166" t="s">
        <v>535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67"/>
      <c r="AM202" s="127" t="s">
        <v>20</v>
      </c>
      <c r="AN202" s="121"/>
      <c r="AO202" s="121"/>
      <c r="AP202" s="338">
        <f t="shared" ref="AP202:AQ202" si="79">AQ202-3</f>
        <v>45912</v>
      </c>
      <c r="AQ202" s="338">
        <f t="shared" si="79"/>
        <v>45915</v>
      </c>
      <c r="AR202" s="338">
        <f>AS202-2</f>
        <v>45918</v>
      </c>
      <c r="AS202" s="507">
        <v>45920</v>
      </c>
      <c r="AT202" s="25" t="s">
        <v>580</v>
      </c>
      <c r="AU202" s="168"/>
      <c r="AV202" s="127" t="s">
        <v>20</v>
      </c>
      <c r="AW202" s="15"/>
      <c r="AX202" s="268"/>
      <c r="AY202" s="268"/>
      <c r="AZ202" s="24"/>
      <c r="BA202" s="168"/>
      <c r="BB202" s="127" t="s">
        <v>20</v>
      </c>
      <c r="BC202" s="121"/>
      <c r="BD202" s="121"/>
      <c r="BE202" s="269">
        <f>BF202-2</f>
        <v>45951</v>
      </c>
      <c r="BF202" s="269">
        <v>45953</v>
      </c>
      <c r="BG202" s="15" t="s">
        <v>579</v>
      </c>
      <c r="BH202" s="177"/>
      <c r="BI202" s="127" t="s">
        <v>20</v>
      </c>
      <c r="BJ202" s="121"/>
      <c r="BK202" s="12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69"/>
      <c r="D203" s="120"/>
      <c r="E203" s="120"/>
      <c r="F203" s="120"/>
      <c r="G203" s="120"/>
      <c r="H203" s="170"/>
      <c r="I203" s="19"/>
      <c r="J203" s="19"/>
      <c r="K203" s="171"/>
      <c r="L203" s="163"/>
      <c r="M203" s="15"/>
      <c r="N203" s="15"/>
      <c r="O203" s="15"/>
      <c r="P203" s="165"/>
      <c r="Q203" s="163"/>
      <c r="R203" s="15"/>
      <c r="S203" s="165"/>
      <c r="T203" s="166"/>
      <c r="U203" s="166"/>
      <c r="V203" s="16">
        <v>365</v>
      </c>
      <c r="W203" s="15" t="s">
        <v>499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67"/>
      <c r="AM203" s="15"/>
      <c r="AN203" s="24"/>
      <c r="AO203" s="24"/>
      <c r="AP203" s="24"/>
      <c r="AQ203" s="24"/>
      <c r="AR203" s="24"/>
      <c r="AS203" s="25"/>
      <c r="AT203" s="25"/>
      <c r="AU203" s="168"/>
      <c r="AV203" s="15"/>
      <c r="AW203" s="24"/>
      <c r="AX203" s="268"/>
      <c r="AY203" s="268"/>
      <c r="AZ203" s="24"/>
      <c r="BA203" s="168"/>
      <c r="BB203" s="24"/>
      <c r="BC203" s="24"/>
      <c r="BD203" s="24"/>
      <c r="BE203" s="24"/>
      <c r="BF203" s="24"/>
      <c r="BG203" s="24"/>
      <c r="BH203" s="16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69" t="s">
        <v>76</v>
      </c>
      <c r="D204" s="120">
        <v>7.71</v>
      </c>
      <c r="E204" s="120">
        <f>D204*4</f>
        <v>30.84</v>
      </c>
      <c r="F204" s="120">
        <f>E204*8</f>
        <v>246.72</v>
      </c>
      <c r="G204" s="120"/>
      <c r="H204" s="170"/>
      <c r="I204" s="19"/>
      <c r="J204" s="19"/>
      <c r="K204" s="171"/>
      <c r="L204" s="163">
        <v>3.452</v>
      </c>
      <c r="M204" s="15">
        <v>2.633</v>
      </c>
      <c r="N204" s="15">
        <v>4.0000000000000001E-3</v>
      </c>
      <c r="O204" s="15">
        <v>0.24099999999999999</v>
      </c>
      <c r="P204" s="174">
        <f t="shared" ref="P204:P266" si="80">SUM(L204:O204)</f>
        <v>6.3299999999999992</v>
      </c>
      <c r="Q204" s="163">
        <v>0.36299999999999999</v>
      </c>
      <c r="R204" s="15">
        <v>6.0000000000000001E-3</v>
      </c>
      <c r="S204" s="165">
        <f t="shared" ref="S204:S266" si="81">SUM(Q204:R204)</f>
        <v>0.36899999999999999</v>
      </c>
      <c r="T204" s="166" t="s">
        <v>31</v>
      </c>
      <c r="U204" s="166" t="s">
        <v>535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67"/>
      <c r="AM204" s="127" t="s">
        <v>20</v>
      </c>
      <c r="AN204" s="121"/>
      <c r="AO204" s="121"/>
      <c r="AP204" s="338">
        <f t="shared" ref="AP204:AR204" si="83">AQ204-2</f>
        <v>45906</v>
      </c>
      <c r="AQ204" s="338">
        <f t="shared" si="83"/>
        <v>45908</v>
      </c>
      <c r="AR204" s="338">
        <f t="shared" si="83"/>
        <v>45910</v>
      </c>
      <c r="AS204" s="507">
        <v>45912</v>
      </c>
      <c r="AT204" s="25" t="s">
        <v>580</v>
      </c>
      <c r="AU204" s="173"/>
      <c r="AV204" s="127" t="s">
        <v>20</v>
      </c>
      <c r="AW204" s="15" t="s">
        <v>6</v>
      </c>
      <c r="AX204" s="268">
        <f>AS204+2</f>
        <v>45914</v>
      </c>
      <c r="AY204" s="268">
        <f>AX204</f>
        <v>45914</v>
      </c>
      <c r="AZ204" s="172" t="s">
        <v>582</v>
      </c>
      <c r="BA204" s="173"/>
      <c r="BB204" s="127" t="s">
        <v>20</v>
      </c>
      <c r="BC204" s="121"/>
      <c r="BD204" s="121"/>
      <c r="BE204" s="269">
        <f>BF204-2</f>
        <v>45957</v>
      </c>
      <c r="BF204" s="269">
        <v>45959</v>
      </c>
      <c r="BG204" s="15" t="s">
        <v>579</v>
      </c>
      <c r="BH204" s="178"/>
      <c r="BI204" s="127" t="s">
        <v>20</v>
      </c>
      <c r="BJ204" s="121"/>
      <c r="BK204" s="12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69"/>
      <c r="D205" s="120"/>
      <c r="E205" s="120"/>
      <c r="F205" s="120"/>
      <c r="G205" s="120"/>
      <c r="H205" s="170"/>
      <c r="I205" s="19"/>
      <c r="J205" s="19"/>
      <c r="K205" s="171"/>
      <c r="L205" s="163"/>
      <c r="M205" s="15"/>
      <c r="N205" s="15"/>
      <c r="O205" s="15"/>
      <c r="P205" s="165"/>
      <c r="Q205" s="163"/>
      <c r="R205" s="15"/>
      <c r="S205" s="165"/>
      <c r="T205" s="166"/>
      <c r="U205" s="166"/>
      <c r="V205" s="16">
        <v>419</v>
      </c>
      <c r="W205" s="15" t="s">
        <v>499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67"/>
      <c r="AM205" s="15"/>
      <c r="AN205" s="24"/>
      <c r="AO205" s="24"/>
      <c r="AP205" s="24"/>
      <c r="AQ205" s="24"/>
      <c r="AR205" s="24"/>
      <c r="AS205" s="25"/>
      <c r="AT205" s="25"/>
      <c r="AU205" s="168"/>
      <c r="AV205" s="15"/>
      <c r="AW205" s="24"/>
      <c r="AX205" s="268"/>
      <c r="AY205" s="268"/>
      <c r="AZ205" s="24"/>
      <c r="BA205" s="168"/>
      <c r="BB205" s="24"/>
      <c r="BC205" s="24"/>
      <c r="BD205" s="24"/>
      <c r="BE205" s="24"/>
      <c r="BF205" s="24"/>
      <c r="BG205" s="24"/>
      <c r="BH205" s="16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69" t="s">
        <v>56</v>
      </c>
      <c r="D206" s="120">
        <v>7.6219999999999999</v>
      </c>
      <c r="E206" s="120">
        <f>D206*4</f>
        <v>30.488</v>
      </c>
      <c r="F206" s="120">
        <f>E206*8</f>
        <v>243.904</v>
      </c>
      <c r="G206" s="120"/>
      <c r="H206" s="170"/>
      <c r="I206" s="19"/>
      <c r="J206" s="19"/>
      <c r="K206" s="171"/>
      <c r="L206" s="163">
        <v>2.6789999999999998</v>
      </c>
      <c r="M206" s="15">
        <v>3.133</v>
      </c>
      <c r="N206" s="15">
        <v>2.5000000000000001E-3</v>
      </c>
      <c r="O206" s="15">
        <v>0.23299999999999998</v>
      </c>
      <c r="P206" s="165">
        <f t="shared" si="80"/>
        <v>6.0474999999999994</v>
      </c>
      <c r="Q206" s="163">
        <v>0.24399999999999999</v>
      </c>
      <c r="R206" s="15">
        <v>5.0000000000000001E-3</v>
      </c>
      <c r="S206" s="165">
        <f t="shared" si="81"/>
        <v>0.249</v>
      </c>
      <c r="T206" s="166" t="s">
        <v>31</v>
      </c>
      <c r="U206" s="166" t="s">
        <v>535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67"/>
      <c r="AM206" s="127" t="s">
        <v>20</v>
      </c>
      <c r="AN206" s="121"/>
      <c r="AO206" s="121"/>
      <c r="AP206" s="338">
        <f>AQ206-2</f>
        <v>45922</v>
      </c>
      <c r="AQ206" s="338">
        <f t="shared" ref="AQ206:AR206" si="84">AR206-3</f>
        <v>45924</v>
      </c>
      <c r="AR206" s="338">
        <f t="shared" si="84"/>
        <v>45927</v>
      </c>
      <c r="AS206" s="507">
        <v>45930</v>
      </c>
      <c r="AT206" s="15" t="s">
        <v>552</v>
      </c>
      <c r="AU206" s="184"/>
      <c r="AV206" s="127" t="s">
        <v>20</v>
      </c>
      <c r="AW206" s="15" t="s">
        <v>6</v>
      </c>
      <c r="AX206" s="268">
        <f>AS206+2</f>
        <v>45932</v>
      </c>
      <c r="AY206" s="268">
        <f>AX206</f>
        <v>45932</v>
      </c>
      <c r="AZ206" s="172" t="s">
        <v>582</v>
      </c>
      <c r="BA206" s="184"/>
      <c r="BB206" s="127" t="s">
        <v>20</v>
      </c>
      <c r="BC206" s="121"/>
      <c r="BD206" s="121"/>
      <c r="BE206" s="269">
        <f>BF206-2</f>
        <v>45975</v>
      </c>
      <c r="BF206" s="269">
        <v>45977</v>
      </c>
      <c r="BG206" s="15" t="s">
        <v>579</v>
      </c>
      <c r="BH206" s="177"/>
      <c r="BI206" s="127" t="s">
        <v>20</v>
      </c>
      <c r="BJ206" s="121"/>
      <c r="BK206" s="12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69"/>
      <c r="D207" s="120"/>
      <c r="E207" s="120"/>
      <c r="F207" s="120"/>
      <c r="G207" s="120"/>
      <c r="H207" s="170"/>
      <c r="I207" s="19"/>
      <c r="J207" s="19"/>
      <c r="K207" s="171"/>
      <c r="L207" s="163"/>
      <c r="M207" s="15"/>
      <c r="N207" s="15"/>
      <c r="O207" s="15"/>
      <c r="P207" s="165"/>
      <c r="Q207" s="163"/>
      <c r="R207" s="15"/>
      <c r="S207" s="165"/>
      <c r="T207" s="166"/>
      <c r="U207" s="166"/>
      <c r="V207" s="16">
        <v>331</v>
      </c>
      <c r="W207" s="15" t="s">
        <v>536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67"/>
      <c r="AM207" s="15"/>
      <c r="AN207" s="24"/>
      <c r="AO207" s="24"/>
      <c r="AP207" s="24"/>
      <c r="AQ207" s="24"/>
      <c r="AR207" s="24"/>
      <c r="AS207" s="25"/>
      <c r="AT207" s="25"/>
      <c r="AU207" s="168"/>
      <c r="AV207" s="15"/>
      <c r="AW207" s="24"/>
      <c r="AX207" s="268"/>
      <c r="AY207" s="268"/>
      <c r="AZ207" s="24"/>
      <c r="BA207" s="168"/>
      <c r="BB207" s="24"/>
      <c r="BC207" s="24"/>
      <c r="BD207" s="24"/>
      <c r="BE207" s="24"/>
      <c r="BF207" s="24"/>
      <c r="BG207" s="24"/>
      <c r="BH207" s="16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69" t="s">
        <v>42</v>
      </c>
      <c r="D208" s="120">
        <v>6.3620000000000001</v>
      </c>
      <c r="E208" s="120">
        <f>D208*4</f>
        <v>25.448</v>
      </c>
      <c r="F208" s="120">
        <f>E208*8</f>
        <v>203.584</v>
      </c>
      <c r="G208" s="120"/>
      <c r="H208" s="170"/>
      <c r="I208" s="19"/>
      <c r="J208" s="19"/>
      <c r="K208" s="171"/>
      <c r="L208" s="163">
        <v>2.25</v>
      </c>
      <c r="M208" s="15">
        <v>2.1880000000000002</v>
      </c>
      <c r="N208" s="15">
        <v>2E-3</v>
      </c>
      <c r="O208" s="15">
        <v>0.183</v>
      </c>
      <c r="P208" s="165">
        <f t="shared" si="80"/>
        <v>4.6230000000000002</v>
      </c>
      <c r="Q208" s="163">
        <v>0.24399999999999999</v>
      </c>
      <c r="R208" s="15">
        <v>5.0000000000000001E-3</v>
      </c>
      <c r="S208" s="165">
        <f t="shared" si="81"/>
        <v>0.249</v>
      </c>
      <c r="T208" s="166" t="s">
        <v>31</v>
      </c>
      <c r="U208" s="166" t="s">
        <v>535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67"/>
      <c r="AM208" s="127" t="s">
        <v>20</v>
      </c>
      <c r="AN208" s="121"/>
      <c r="AO208" s="121"/>
      <c r="AP208" s="338">
        <f>AQ208-7</f>
        <v>45922</v>
      </c>
      <c r="AQ208" s="338">
        <f>AR208-6</f>
        <v>45929</v>
      </c>
      <c r="AR208" s="338">
        <f>AS208-3</f>
        <v>45935</v>
      </c>
      <c r="AS208" s="507">
        <v>45938</v>
      </c>
      <c r="AT208" s="15" t="s">
        <v>537</v>
      </c>
      <c r="AU208" s="184"/>
      <c r="AV208" s="127" t="s">
        <v>20</v>
      </c>
      <c r="AW208" s="15" t="s">
        <v>6</v>
      </c>
      <c r="AX208" s="268">
        <f>AS208+2</f>
        <v>45940</v>
      </c>
      <c r="AY208" s="268">
        <f>AX208</f>
        <v>45940</v>
      </c>
      <c r="AZ208" s="172" t="s">
        <v>582</v>
      </c>
      <c r="BA208" s="173"/>
      <c r="BB208" s="127" t="s">
        <v>20</v>
      </c>
      <c r="BC208" s="121"/>
      <c r="BD208" s="121"/>
      <c r="BE208" s="269">
        <f>BF208-2</f>
        <v>45959</v>
      </c>
      <c r="BF208" s="269">
        <v>45961</v>
      </c>
      <c r="BG208" s="15" t="s">
        <v>579</v>
      </c>
      <c r="BH208" s="178"/>
      <c r="BI208" s="127" t="s">
        <v>20</v>
      </c>
      <c r="BJ208" s="121"/>
      <c r="BK208" s="12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69"/>
      <c r="D209" s="120"/>
      <c r="E209" s="120"/>
      <c r="F209" s="120"/>
      <c r="G209" s="120"/>
      <c r="H209" s="170"/>
      <c r="I209" s="19"/>
      <c r="J209" s="19"/>
      <c r="K209" s="171"/>
      <c r="L209" s="163"/>
      <c r="M209" s="15"/>
      <c r="N209" s="15"/>
      <c r="O209" s="15"/>
      <c r="P209" s="165"/>
      <c r="Q209" s="163"/>
      <c r="R209" s="15"/>
      <c r="S209" s="165"/>
      <c r="T209" s="166"/>
      <c r="U209" s="166"/>
      <c r="V209" s="16">
        <v>390</v>
      </c>
      <c r="W209" s="15" t="s">
        <v>499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67"/>
      <c r="AM209" s="15"/>
      <c r="AN209" s="24"/>
      <c r="AO209" s="24"/>
      <c r="AP209" s="24"/>
      <c r="AQ209" s="24"/>
      <c r="AR209" s="24"/>
      <c r="AS209" s="25"/>
      <c r="AT209" s="25"/>
      <c r="AU209" s="168"/>
      <c r="AV209" s="15"/>
      <c r="AW209" s="24"/>
      <c r="AX209" s="268"/>
      <c r="AY209" s="268"/>
      <c r="AZ209" s="24"/>
      <c r="BA209" s="168"/>
      <c r="BB209" s="24"/>
      <c r="BC209" s="24"/>
      <c r="BD209" s="24"/>
      <c r="BE209" s="24"/>
      <c r="BF209" s="24"/>
      <c r="BG209" s="24"/>
      <c r="BH209" s="16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69" t="s">
        <v>37</v>
      </c>
      <c r="D210" s="120">
        <v>6.992</v>
      </c>
      <c r="E210" s="120">
        <f>D210*4</f>
        <v>27.968</v>
      </c>
      <c r="F210" s="120">
        <f>E210*8</f>
        <v>223.744</v>
      </c>
      <c r="G210" s="120"/>
      <c r="H210" s="170"/>
      <c r="I210" s="19"/>
      <c r="J210" s="19"/>
      <c r="K210" s="171"/>
      <c r="L210" s="163">
        <v>2.6070000000000002</v>
      </c>
      <c r="M210" s="15">
        <v>2.657</v>
      </c>
      <c r="N210" s="15">
        <v>2E-3</v>
      </c>
      <c r="O210" s="15">
        <v>0.21299999999999999</v>
      </c>
      <c r="P210" s="165">
        <f t="shared" si="80"/>
        <v>5.4790000000000001</v>
      </c>
      <c r="Q210" s="163">
        <v>0.24399999999999999</v>
      </c>
      <c r="R210" s="15">
        <v>5.0000000000000001E-3</v>
      </c>
      <c r="S210" s="165">
        <f t="shared" si="81"/>
        <v>0.249</v>
      </c>
      <c r="T210" s="166" t="s">
        <v>31</v>
      </c>
      <c r="U210" s="166" t="s">
        <v>535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67"/>
      <c r="AM210" s="127" t="s">
        <v>20</v>
      </c>
      <c r="AN210" s="121"/>
      <c r="AO210" s="121"/>
      <c r="AP210" s="338">
        <f t="shared" ref="AP210:AR210" si="85">AQ210-3</f>
        <v>45957</v>
      </c>
      <c r="AQ210" s="338">
        <f t="shared" si="85"/>
        <v>45960</v>
      </c>
      <c r="AR210" s="338">
        <f t="shared" si="85"/>
        <v>45963</v>
      </c>
      <c r="AS210" s="507">
        <v>45966</v>
      </c>
      <c r="AT210" s="15" t="s">
        <v>552</v>
      </c>
      <c r="AU210" s="184"/>
      <c r="AV210" s="127" t="s">
        <v>20</v>
      </c>
      <c r="AW210" s="15" t="s">
        <v>6</v>
      </c>
      <c r="AX210" s="268">
        <f>AS210+2</f>
        <v>45968</v>
      </c>
      <c r="AY210" s="268">
        <f>AX210</f>
        <v>45968</v>
      </c>
      <c r="AZ210" s="172" t="s">
        <v>582</v>
      </c>
      <c r="BA210" s="184"/>
      <c r="BB210" s="127" t="s">
        <v>20</v>
      </c>
      <c r="BC210" s="121"/>
      <c r="BD210" s="121"/>
      <c r="BE210" s="269">
        <f>BF210-2</f>
        <v>45976</v>
      </c>
      <c r="BF210" s="269">
        <v>45978</v>
      </c>
      <c r="BG210" s="15" t="s">
        <v>579</v>
      </c>
      <c r="BH210" s="177"/>
      <c r="BI210" s="127" t="s">
        <v>20</v>
      </c>
      <c r="BJ210" s="121"/>
      <c r="BK210" s="121"/>
      <c r="BL210" s="25">
        <v>1330</v>
      </c>
      <c r="BM210" s="24"/>
    </row>
    <row r="211" spans="1:65" ht="14.25" customHeight="1">
      <c r="A211" s="15" t="s">
        <v>0</v>
      </c>
      <c r="B211" s="19"/>
      <c r="C211" s="169"/>
      <c r="D211" s="120"/>
      <c r="E211" s="120"/>
      <c r="F211" s="120"/>
      <c r="G211" s="120"/>
      <c r="H211" s="170"/>
      <c r="I211" s="19"/>
      <c r="J211" s="19"/>
      <c r="K211" s="171"/>
      <c r="L211" s="163"/>
      <c r="M211" s="15"/>
      <c r="N211" s="15"/>
      <c r="O211" s="15"/>
      <c r="P211" s="165"/>
      <c r="Q211" s="163"/>
      <c r="R211" s="15"/>
      <c r="S211" s="165"/>
      <c r="T211" s="166"/>
      <c r="U211" s="166"/>
      <c r="V211" s="16">
        <v>349</v>
      </c>
      <c r="W211" s="15" t="s">
        <v>536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67"/>
      <c r="AM211" s="15"/>
      <c r="AN211" s="24"/>
      <c r="AO211" s="24"/>
      <c r="AP211" s="24"/>
      <c r="AQ211" s="24"/>
      <c r="AR211" s="24"/>
      <c r="AS211" s="25"/>
      <c r="AT211" s="25"/>
      <c r="AU211" s="168"/>
      <c r="AV211" s="15"/>
      <c r="AW211" s="24"/>
      <c r="AX211" s="268"/>
      <c r="AY211" s="268"/>
      <c r="AZ211" s="24"/>
      <c r="BA211" s="168"/>
      <c r="BB211" s="24"/>
      <c r="BC211" s="24"/>
      <c r="BD211" s="24"/>
      <c r="BE211" s="24"/>
      <c r="BF211" s="24"/>
      <c r="BG211" s="24"/>
      <c r="BH211" s="16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69" t="s">
        <v>42</v>
      </c>
      <c r="D212" s="120">
        <v>6.3620000000000001</v>
      </c>
      <c r="E212" s="120">
        <f>D212*4</f>
        <v>25.448</v>
      </c>
      <c r="F212" s="120">
        <f>E212*8</f>
        <v>203.584</v>
      </c>
      <c r="G212" s="120"/>
      <c r="H212" s="170"/>
      <c r="I212" s="19"/>
      <c r="J212" s="19"/>
      <c r="K212" s="171"/>
      <c r="L212" s="163">
        <v>2.25</v>
      </c>
      <c r="M212" s="15">
        <v>2.1880000000000002</v>
      </c>
      <c r="N212" s="15">
        <v>2E-3</v>
      </c>
      <c r="O212" s="15">
        <v>0.183</v>
      </c>
      <c r="P212" s="165">
        <f t="shared" si="80"/>
        <v>4.6230000000000002</v>
      </c>
      <c r="Q212" s="163">
        <v>0.24399999999999999</v>
      </c>
      <c r="R212" s="15">
        <v>5.0000000000000001E-3</v>
      </c>
      <c r="S212" s="165">
        <f t="shared" si="81"/>
        <v>0.249</v>
      </c>
      <c r="T212" s="166" t="s">
        <v>31</v>
      </c>
      <c r="U212" s="166" t="s">
        <v>535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67"/>
      <c r="AM212" s="127" t="s">
        <v>20</v>
      </c>
      <c r="AN212" s="121" t="str">
        <f>AO212</f>
        <v>D</v>
      </c>
      <c r="AO212" s="121" t="s">
        <v>21</v>
      </c>
      <c r="AP212" s="338">
        <f>AQ212-2</f>
        <v>45644</v>
      </c>
      <c r="AQ212" s="338">
        <f>AR212-3</f>
        <v>45646</v>
      </c>
      <c r="AR212" s="338">
        <f>AS212-2</f>
        <v>45649</v>
      </c>
      <c r="AS212" s="507">
        <v>45651</v>
      </c>
      <c r="AT212" s="25" t="s">
        <v>538</v>
      </c>
      <c r="AU212" s="173"/>
      <c r="AV212" s="127" t="s">
        <v>20</v>
      </c>
      <c r="AW212" s="15" t="s">
        <v>6</v>
      </c>
      <c r="AX212" s="268">
        <v>45644</v>
      </c>
      <c r="AY212" s="268">
        <v>45644</v>
      </c>
      <c r="AZ212" s="172" t="s">
        <v>538</v>
      </c>
      <c r="BA212" s="173"/>
      <c r="BB212" s="127" t="s">
        <v>20</v>
      </c>
      <c r="BC212" s="121"/>
      <c r="BD212" s="121" t="s">
        <v>21</v>
      </c>
      <c r="BE212" s="269">
        <f>BF212-2</f>
        <v>45686</v>
      </c>
      <c r="BF212" s="269">
        <v>45688</v>
      </c>
      <c r="BG212" s="15" t="s">
        <v>505</v>
      </c>
      <c r="BH212" s="178"/>
      <c r="BI212" s="127" t="s">
        <v>20</v>
      </c>
      <c r="BJ212" s="121"/>
      <c r="BK212" s="121"/>
      <c r="BL212" s="25">
        <v>980</v>
      </c>
      <c r="BM212" s="24" t="s">
        <v>741</v>
      </c>
    </row>
    <row r="213" spans="1:65" ht="14.25" customHeight="1">
      <c r="A213" s="15" t="s">
        <v>0</v>
      </c>
      <c r="B213" s="19"/>
      <c r="C213" s="169"/>
      <c r="D213" s="120"/>
      <c r="E213" s="120"/>
      <c r="F213" s="120"/>
      <c r="G213" s="120"/>
      <c r="H213" s="170"/>
      <c r="I213" s="19"/>
      <c r="J213" s="19"/>
      <c r="K213" s="171"/>
      <c r="L213" s="163"/>
      <c r="M213" s="15"/>
      <c r="N213" s="15"/>
      <c r="O213" s="15"/>
      <c r="P213" s="165"/>
      <c r="Q213" s="163"/>
      <c r="R213" s="15"/>
      <c r="S213" s="165"/>
      <c r="T213" s="166"/>
      <c r="U213" s="166"/>
      <c r="V213" s="16">
        <v>324</v>
      </c>
      <c r="W213" s="15" t="s">
        <v>499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67"/>
      <c r="AM213" s="15"/>
      <c r="AN213" s="24"/>
      <c r="AO213" s="24"/>
      <c r="AP213" s="24"/>
      <c r="AQ213" s="24"/>
      <c r="AR213" s="24"/>
      <c r="AS213" s="25"/>
      <c r="AT213" s="25"/>
      <c r="AU213" s="168"/>
      <c r="AV213" s="15"/>
      <c r="AW213" s="24"/>
      <c r="AX213" s="268"/>
      <c r="AY213" s="268"/>
      <c r="AZ213" s="24"/>
      <c r="BA213" s="168"/>
      <c r="BB213" s="24"/>
      <c r="BC213" s="24"/>
      <c r="BD213" s="24"/>
      <c r="BE213" s="24"/>
      <c r="BF213" s="24"/>
      <c r="BG213" s="24"/>
      <c r="BH213" s="16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69" t="s">
        <v>37</v>
      </c>
      <c r="D214" s="120">
        <v>6.992</v>
      </c>
      <c r="E214" s="120">
        <f>D214*4</f>
        <v>27.968</v>
      </c>
      <c r="F214" s="120">
        <f>E214*8</f>
        <v>223.744</v>
      </c>
      <c r="G214" s="120"/>
      <c r="H214" s="170"/>
      <c r="I214" s="19"/>
      <c r="J214" s="19"/>
      <c r="K214" s="171"/>
      <c r="L214" s="163">
        <v>2.6070000000000002</v>
      </c>
      <c r="M214" s="15">
        <v>2.657</v>
      </c>
      <c r="N214" s="15">
        <v>2E-3</v>
      </c>
      <c r="O214" s="15">
        <v>0.21299999999999999</v>
      </c>
      <c r="P214" s="165">
        <f t="shared" si="80"/>
        <v>5.4790000000000001</v>
      </c>
      <c r="Q214" s="163">
        <v>0.24399999999999999</v>
      </c>
      <c r="R214" s="15">
        <v>5.0000000000000001E-3</v>
      </c>
      <c r="S214" s="165">
        <f t="shared" si="81"/>
        <v>0.249</v>
      </c>
      <c r="T214" s="166" t="s">
        <v>31</v>
      </c>
      <c r="U214" s="166" t="s">
        <v>535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67"/>
      <c r="AM214" s="127" t="s">
        <v>20</v>
      </c>
      <c r="AN214" s="121" t="str">
        <f>AO214</f>
        <v>D</v>
      </c>
      <c r="AO214" s="121" t="s">
        <v>21</v>
      </c>
      <c r="AP214" s="338">
        <v>45656</v>
      </c>
      <c r="AQ214" s="338">
        <v>45656</v>
      </c>
      <c r="AR214" s="338">
        <v>45657</v>
      </c>
      <c r="AS214" s="507">
        <v>45657</v>
      </c>
      <c r="AT214" s="25" t="s">
        <v>538</v>
      </c>
      <c r="AU214" s="173"/>
      <c r="AV214" s="127" t="s">
        <v>20</v>
      </c>
      <c r="AW214" s="15" t="s">
        <v>6</v>
      </c>
      <c r="AX214" s="268">
        <v>45644</v>
      </c>
      <c r="AY214" s="268">
        <v>45644</v>
      </c>
      <c r="AZ214" s="172" t="s">
        <v>538</v>
      </c>
      <c r="BA214" s="173"/>
      <c r="BB214" s="127" t="s">
        <v>20</v>
      </c>
      <c r="BC214" s="121"/>
      <c r="BD214" s="121" t="s">
        <v>21</v>
      </c>
      <c r="BE214" s="269">
        <f>BF214-2</f>
        <v>45687</v>
      </c>
      <c r="BF214" s="269">
        <v>45689</v>
      </c>
      <c r="BG214" s="15" t="s">
        <v>505</v>
      </c>
      <c r="BH214" s="177"/>
      <c r="BI214" s="127" t="s">
        <v>20</v>
      </c>
      <c r="BJ214" s="24"/>
      <c r="BK214" s="24"/>
      <c r="BL214" s="25">
        <v>1330</v>
      </c>
      <c r="BM214" s="24" t="s">
        <v>741</v>
      </c>
    </row>
    <row r="215" spans="1:65" ht="14.25" customHeight="1">
      <c r="A215" s="15" t="s">
        <v>0</v>
      </c>
      <c r="B215" s="19"/>
      <c r="C215" s="169"/>
      <c r="D215" s="120"/>
      <c r="E215" s="120"/>
      <c r="F215" s="120"/>
      <c r="G215" s="120"/>
      <c r="H215" s="170"/>
      <c r="I215" s="19"/>
      <c r="J215" s="19"/>
      <c r="K215" s="171"/>
      <c r="L215" s="163"/>
      <c r="M215" s="15"/>
      <c r="N215" s="15"/>
      <c r="O215" s="15"/>
      <c r="P215" s="165"/>
      <c r="Q215" s="163"/>
      <c r="R215" s="15"/>
      <c r="S215" s="165"/>
      <c r="T215" s="166"/>
      <c r="U215" s="166"/>
      <c r="V215" s="16">
        <v>413</v>
      </c>
      <c r="W215" s="15" t="s">
        <v>499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67"/>
      <c r="AM215" s="15"/>
      <c r="AN215" s="24"/>
      <c r="AO215" s="24"/>
      <c r="AP215" s="24"/>
      <c r="AQ215" s="24"/>
      <c r="AR215" s="24"/>
      <c r="AS215" s="25"/>
      <c r="AT215" s="25"/>
      <c r="AU215" s="168"/>
      <c r="AV215" s="15"/>
      <c r="AW215" s="24"/>
      <c r="AX215" s="268"/>
      <c r="AY215" s="268"/>
      <c r="AZ215" s="24"/>
      <c r="BA215" s="168"/>
      <c r="BB215" s="24"/>
      <c r="BC215" s="24"/>
      <c r="BD215" s="24"/>
      <c r="BE215" s="24"/>
      <c r="BF215" s="24"/>
      <c r="BG215" s="24"/>
      <c r="BH215" s="16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69" t="s">
        <v>42</v>
      </c>
      <c r="D216" s="120">
        <v>6.3620000000000001</v>
      </c>
      <c r="E216" s="120">
        <f>D216*4</f>
        <v>25.448</v>
      </c>
      <c r="F216" s="120">
        <f>E216*8</f>
        <v>203.584</v>
      </c>
      <c r="G216" s="120"/>
      <c r="H216" s="170"/>
      <c r="I216" s="19"/>
      <c r="J216" s="19"/>
      <c r="K216" s="171"/>
      <c r="L216" s="163">
        <v>2.25</v>
      </c>
      <c r="M216" s="15">
        <v>2.1880000000000002</v>
      </c>
      <c r="N216" s="15">
        <v>2E-3</v>
      </c>
      <c r="O216" s="15">
        <v>0.183</v>
      </c>
      <c r="P216" s="165">
        <f t="shared" si="80"/>
        <v>4.6230000000000002</v>
      </c>
      <c r="Q216" s="163">
        <v>0.24399999999999999</v>
      </c>
      <c r="R216" s="15">
        <v>5.0000000000000001E-3</v>
      </c>
      <c r="S216" s="165">
        <f t="shared" si="81"/>
        <v>0.249</v>
      </c>
      <c r="T216" s="166" t="s">
        <v>31</v>
      </c>
      <c r="U216" s="166" t="s">
        <v>535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67"/>
      <c r="AM216" s="127" t="s">
        <v>20</v>
      </c>
      <c r="AN216" s="121" t="str">
        <f>AO216</f>
        <v>D</v>
      </c>
      <c r="AO216" s="121" t="s">
        <v>21</v>
      </c>
      <c r="AP216" s="338">
        <f t="shared" ref="AP216:AQ216" si="86">AQ216-3</f>
        <v>45637</v>
      </c>
      <c r="AQ216" s="338">
        <f t="shared" si="86"/>
        <v>45640</v>
      </c>
      <c r="AR216" s="338">
        <f>AS216-2</f>
        <v>45643</v>
      </c>
      <c r="AS216" s="507">
        <v>45645</v>
      </c>
      <c r="AT216" s="25" t="s">
        <v>538</v>
      </c>
      <c r="AU216" s="173"/>
      <c r="AV216" s="127" t="s">
        <v>20</v>
      </c>
      <c r="AW216" s="15" t="s">
        <v>6</v>
      </c>
      <c r="AX216" s="268">
        <v>45644</v>
      </c>
      <c r="AY216" s="268">
        <v>45644</v>
      </c>
      <c r="AZ216" s="172" t="s">
        <v>538</v>
      </c>
      <c r="BA216" s="173"/>
      <c r="BB216" s="127" t="s">
        <v>20</v>
      </c>
      <c r="BC216" s="121"/>
      <c r="BD216" s="121" t="s">
        <v>21</v>
      </c>
      <c r="BE216" s="269">
        <f>BF216-1</f>
        <v>45689</v>
      </c>
      <c r="BF216" s="269">
        <v>45690</v>
      </c>
      <c r="BG216" s="15" t="s">
        <v>505</v>
      </c>
      <c r="BH216" s="178"/>
      <c r="BI216" s="127" t="s">
        <v>20</v>
      </c>
      <c r="BJ216" s="24"/>
      <c r="BK216" s="24"/>
      <c r="BL216" s="25">
        <v>980</v>
      </c>
      <c r="BM216" s="24" t="s">
        <v>741</v>
      </c>
    </row>
    <row r="217" spans="1:65" ht="14.25" customHeight="1">
      <c r="A217" s="15" t="s">
        <v>0</v>
      </c>
      <c r="B217" s="19"/>
      <c r="C217" s="169"/>
      <c r="D217" s="120"/>
      <c r="E217" s="120"/>
      <c r="F217" s="120"/>
      <c r="G217" s="120"/>
      <c r="H217" s="170"/>
      <c r="I217" s="19"/>
      <c r="J217" s="19"/>
      <c r="K217" s="171"/>
      <c r="L217" s="163"/>
      <c r="M217" s="15"/>
      <c r="N217" s="15"/>
      <c r="O217" s="15"/>
      <c r="P217" s="165"/>
      <c r="Q217" s="163"/>
      <c r="R217" s="15"/>
      <c r="S217" s="165"/>
      <c r="T217" s="166"/>
      <c r="U217" s="166"/>
      <c r="V217" s="16">
        <v>310.18</v>
      </c>
      <c r="W217" s="15" t="s">
        <v>499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67"/>
      <c r="AM217" s="15"/>
      <c r="AN217" s="24"/>
      <c r="AO217" s="24"/>
      <c r="AP217" s="24"/>
      <c r="AQ217" s="24"/>
      <c r="AR217" s="24"/>
      <c r="AS217" s="25"/>
      <c r="AT217" s="25"/>
      <c r="AU217" s="168"/>
      <c r="AV217" s="15"/>
      <c r="AW217" s="24"/>
      <c r="AX217" s="268"/>
      <c r="AY217" s="268"/>
      <c r="AZ217" s="24"/>
      <c r="BA217" s="168"/>
      <c r="BB217" s="24"/>
      <c r="BC217" s="24"/>
      <c r="BD217" s="24"/>
      <c r="BE217" s="24"/>
      <c r="BF217" s="24"/>
      <c r="BG217" s="24"/>
      <c r="BH217" s="16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69" t="s">
        <v>34</v>
      </c>
      <c r="D218" s="120">
        <v>9.6539999999999999</v>
      </c>
      <c r="E218" s="120">
        <f>D218*4</f>
        <v>38.616</v>
      </c>
      <c r="F218" s="120">
        <f>E218*8</f>
        <v>308.928</v>
      </c>
      <c r="G218" s="120"/>
      <c r="H218" s="170"/>
      <c r="I218" s="19"/>
      <c r="J218" s="19"/>
      <c r="K218" s="171"/>
      <c r="L218" s="163">
        <v>4.8070000000000004</v>
      </c>
      <c r="M218" s="15">
        <v>4.016</v>
      </c>
      <c r="N218" s="15">
        <v>7.0000000000000001E-3</v>
      </c>
      <c r="O218" s="15">
        <v>0.43099999999999999</v>
      </c>
      <c r="P218" s="165">
        <f t="shared" si="80"/>
        <v>9.2609999999999992</v>
      </c>
      <c r="Q218" s="163">
        <v>0.55700000000000005</v>
      </c>
      <c r="R218" s="15">
        <v>0.01</v>
      </c>
      <c r="S218" s="165">
        <f t="shared" si="81"/>
        <v>0.56700000000000006</v>
      </c>
      <c r="T218" s="166" t="s">
        <v>179</v>
      </c>
      <c r="U218" s="166" t="s">
        <v>535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67"/>
      <c r="AM218" s="127" t="s">
        <v>20</v>
      </c>
      <c r="AN218" s="121" t="str">
        <f>AO218</f>
        <v>D</v>
      </c>
      <c r="AO218" s="121" t="s">
        <v>21</v>
      </c>
      <c r="AP218" s="338">
        <f>AQ218-3</f>
        <v>45634</v>
      </c>
      <c r="AQ218" s="338">
        <f t="shared" ref="AQ218:AR218" si="87">AR218-2</f>
        <v>45637</v>
      </c>
      <c r="AR218" s="338">
        <f t="shared" si="87"/>
        <v>45639</v>
      </c>
      <c r="AS218" s="507">
        <v>45641</v>
      </c>
      <c r="AT218" s="25" t="s">
        <v>538</v>
      </c>
      <c r="AU218" s="173"/>
      <c r="AV218" s="127" t="s">
        <v>20</v>
      </c>
      <c r="AW218" s="15" t="s">
        <v>6</v>
      </c>
      <c r="AX218" s="268">
        <v>45644</v>
      </c>
      <c r="AY218" s="268">
        <v>45644</v>
      </c>
      <c r="AZ218" s="172" t="s">
        <v>538</v>
      </c>
      <c r="BA218" s="173"/>
      <c r="BB218" s="127" t="s">
        <v>20</v>
      </c>
      <c r="BC218" s="121"/>
      <c r="BD218" s="121" t="s">
        <v>21</v>
      </c>
      <c r="BE218" s="269">
        <f>BF218-1</f>
        <v>45692</v>
      </c>
      <c r="BF218" s="269">
        <v>45693</v>
      </c>
      <c r="BG218" s="15" t="s">
        <v>505</v>
      </c>
      <c r="BH218" s="167"/>
      <c r="BI218" s="127" t="s">
        <v>20</v>
      </c>
      <c r="BJ218" s="121">
        <f>BK218</f>
        <v>45752</v>
      </c>
      <c r="BK218" s="121">
        <v>45752</v>
      </c>
      <c r="BL218" s="25">
        <v>1202</v>
      </c>
      <c r="BM218" s="24" t="s">
        <v>540</v>
      </c>
    </row>
    <row r="219" spans="1:65" ht="14.25" customHeight="1">
      <c r="A219" s="15" t="s">
        <v>0</v>
      </c>
      <c r="B219" s="19"/>
      <c r="C219" s="169"/>
      <c r="D219" s="120"/>
      <c r="E219" s="120"/>
      <c r="F219" s="120"/>
      <c r="G219" s="120"/>
      <c r="H219" s="170"/>
      <c r="I219" s="19"/>
      <c r="J219" s="19"/>
      <c r="K219" s="171"/>
      <c r="L219" s="163"/>
      <c r="M219" s="15"/>
      <c r="N219" s="15"/>
      <c r="O219" s="15"/>
      <c r="P219" s="165"/>
      <c r="Q219" s="163"/>
      <c r="R219" s="15"/>
      <c r="S219" s="165"/>
      <c r="T219" s="166"/>
      <c r="U219" s="166"/>
      <c r="V219" s="16">
        <v>379</v>
      </c>
      <c r="W219" s="15" t="s">
        <v>499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67"/>
      <c r="AM219" s="15"/>
      <c r="AN219" s="24"/>
      <c r="AO219" s="24"/>
      <c r="AP219" s="24"/>
      <c r="AQ219" s="24"/>
      <c r="AR219" s="24"/>
      <c r="AS219" s="25"/>
      <c r="AT219" s="25"/>
      <c r="AU219" s="168"/>
      <c r="AV219" s="15"/>
      <c r="AW219" s="24"/>
      <c r="AX219" s="268"/>
      <c r="AY219" s="268"/>
      <c r="AZ219" s="24"/>
      <c r="BA219" s="168"/>
      <c r="BB219" s="24"/>
      <c r="BC219" s="24"/>
      <c r="BD219" s="24"/>
      <c r="BE219" s="24"/>
      <c r="BF219" s="24"/>
      <c r="BG219" s="24"/>
      <c r="BH219" s="16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69" t="s">
        <v>37</v>
      </c>
      <c r="D220" s="120">
        <v>6.992</v>
      </c>
      <c r="E220" s="120">
        <f>D220*4</f>
        <v>27.968</v>
      </c>
      <c r="F220" s="120">
        <f>E220*8</f>
        <v>223.744</v>
      </c>
      <c r="G220" s="120"/>
      <c r="H220" s="170"/>
      <c r="I220" s="19"/>
      <c r="J220" s="19"/>
      <c r="K220" s="171"/>
      <c r="L220" s="163">
        <v>2.6070000000000002</v>
      </c>
      <c r="M220" s="15">
        <v>2.657</v>
      </c>
      <c r="N220" s="15">
        <v>2E-3</v>
      </c>
      <c r="O220" s="15">
        <v>0.21299999999999999</v>
      </c>
      <c r="P220" s="165">
        <f t="shared" si="80"/>
        <v>5.4790000000000001</v>
      </c>
      <c r="Q220" s="163">
        <v>0.24399999999999999</v>
      </c>
      <c r="R220" s="15">
        <v>5.0000000000000001E-3</v>
      </c>
      <c r="S220" s="165">
        <f t="shared" si="81"/>
        <v>0.249</v>
      </c>
      <c r="T220" s="166" t="s">
        <v>31</v>
      </c>
      <c r="U220" s="166" t="s">
        <v>535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67"/>
      <c r="AM220" s="127" t="s">
        <v>20</v>
      </c>
      <c r="AN220" s="121" t="str">
        <f>AO220</f>
        <v>D</v>
      </c>
      <c r="AO220" s="121" t="s">
        <v>21</v>
      </c>
      <c r="AP220" s="338">
        <v>45547</v>
      </c>
      <c r="AQ220" s="338">
        <v>45550</v>
      </c>
      <c r="AR220" s="338">
        <v>45551</v>
      </c>
      <c r="AS220" s="507">
        <v>45557</v>
      </c>
      <c r="AT220" s="25" t="s">
        <v>538</v>
      </c>
      <c r="AU220" s="173"/>
      <c r="AV220" s="127" t="s">
        <v>20</v>
      </c>
      <c r="AW220" s="15" t="s">
        <v>6</v>
      </c>
      <c r="AX220" s="268">
        <v>45644</v>
      </c>
      <c r="AY220" s="268">
        <v>45644</v>
      </c>
      <c r="AZ220" s="172" t="s">
        <v>538</v>
      </c>
      <c r="BA220" s="173"/>
      <c r="BB220" s="127" t="s">
        <v>20</v>
      </c>
      <c r="BC220" s="121"/>
      <c r="BD220" s="121" t="s">
        <v>21</v>
      </c>
      <c r="BE220" s="269">
        <v>45645</v>
      </c>
      <c r="BF220" s="269">
        <v>45649</v>
      </c>
      <c r="BG220" s="15" t="s">
        <v>583</v>
      </c>
      <c r="BH220" s="168"/>
      <c r="BI220" s="127" t="s">
        <v>20</v>
      </c>
      <c r="BJ220" s="121">
        <f>BK220</f>
        <v>45758</v>
      </c>
      <c r="BK220" s="121">
        <v>45758</v>
      </c>
      <c r="BL220" s="25">
        <v>1330</v>
      </c>
      <c r="BM220" s="24" t="s">
        <v>540</v>
      </c>
    </row>
    <row r="221" spans="1:65" ht="14.25" customHeight="1">
      <c r="A221" s="15" t="s">
        <v>0</v>
      </c>
      <c r="B221" s="19"/>
      <c r="C221" s="169"/>
      <c r="D221" s="120"/>
      <c r="E221" s="120"/>
      <c r="F221" s="120"/>
      <c r="G221" s="120"/>
      <c r="H221" s="170"/>
      <c r="I221" s="19"/>
      <c r="J221" s="19"/>
      <c r="K221" s="171"/>
      <c r="L221" s="163"/>
      <c r="M221" s="15"/>
      <c r="N221" s="15"/>
      <c r="O221" s="15"/>
      <c r="P221" s="165"/>
      <c r="Q221" s="163"/>
      <c r="R221" s="15"/>
      <c r="S221" s="165"/>
      <c r="T221" s="166"/>
      <c r="U221" s="166"/>
      <c r="V221" s="16">
        <v>304</v>
      </c>
      <c r="W221" s="15" t="s">
        <v>499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67"/>
      <c r="AM221" s="15"/>
      <c r="AN221" s="24"/>
      <c r="AO221" s="24"/>
      <c r="AP221" s="24"/>
      <c r="AQ221" s="24"/>
      <c r="AR221" s="24"/>
      <c r="AS221" s="25"/>
      <c r="AT221" s="25"/>
      <c r="AU221" s="168"/>
      <c r="AV221" s="15"/>
      <c r="AW221" s="24"/>
      <c r="AX221" s="268"/>
      <c r="AY221" s="268"/>
      <c r="AZ221" s="24"/>
      <c r="BA221" s="168"/>
      <c r="BB221" s="24"/>
      <c r="BC221" s="24"/>
      <c r="BD221" s="24"/>
      <c r="BE221" s="24"/>
      <c r="BF221" s="24"/>
      <c r="BG221" s="15"/>
      <c r="BH221" s="16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69" t="s">
        <v>42</v>
      </c>
      <c r="D222" s="120">
        <v>6.3620000000000001</v>
      </c>
      <c r="E222" s="120">
        <f>D222*4</f>
        <v>25.448</v>
      </c>
      <c r="F222" s="120">
        <f>E222*8</f>
        <v>203.584</v>
      </c>
      <c r="G222" s="120"/>
      <c r="H222" s="170"/>
      <c r="I222" s="19"/>
      <c r="J222" s="19"/>
      <c r="K222" s="171"/>
      <c r="L222" s="163">
        <v>2.25</v>
      </c>
      <c r="M222" s="15">
        <v>2.1880000000000002</v>
      </c>
      <c r="N222" s="15">
        <v>2E-3</v>
      </c>
      <c r="O222" s="15">
        <v>0.183</v>
      </c>
      <c r="P222" s="165">
        <f t="shared" si="80"/>
        <v>4.6230000000000002</v>
      </c>
      <c r="Q222" s="163">
        <v>0.24399999999999999</v>
      </c>
      <c r="R222" s="15">
        <v>5.0000000000000001E-3</v>
      </c>
      <c r="S222" s="165">
        <f t="shared" si="81"/>
        <v>0.249</v>
      </c>
      <c r="T222" s="166" t="s">
        <v>31</v>
      </c>
      <c r="U222" s="166" t="s">
        <v>535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67"/>
      <c r="AM222" s="127" t="s">
        <v>20</v>
      </c>
      <c r="AN222" s="121" t="str">
        <f>AO222</f>
        <v>D</v>
      </c>
      <c r="AO222" s="121" t="s">
        <v>21</v>
      </c>
      <c r="AP222" s="338">
        <v>45531</v>
      </c>
      <c r="AQ222" s="338">
        <v>45542</v>
      </c>
      <c r="AR222" s="338">
        <v>45542</v>
      </c>
      <c r="AS222" s="507">
        <v>45546</v>
      </c>
      <c r="AT222" s="25" t="s">
        <v>538</v>
      </c>
      <c r="AU222" s="173"/>
      <c r="AV222" s="127" t="s">
        <v>20</v>
      </c>
      <c r="AW222" s="15" t="s">
        <v>6</v>
      </c>
      <c r="AX222" s="268">
        <v>45646</v>
      </c>
      <c r="AY222" s="268">
        <v>45646</v>
      </c>
      <c r="AZ222" s="172" t="s">
        <v>538</v>
      </c>
      <c r="BA222" s="173"/>
      <c r="BB222" s="127" t="s">
        <v>20</v>
      </c>
      <c r="BC222" s="121"/>
      <c r="BD222" s="121" t="s">
        <v>21</v>
      </c>
      <c r="BE222" s="269">
        <v>45650</v>
      </c>
      <c r="BF222" s="269">
        <v>45651</v>
      </c>
      <c r="BG222" s="15" t="s">
        <v>583</v>
      </c>
      <c r="BH222" s="178"/>
      <c r="BI222" s="127" t="s">
        <v>20</v>
      </c>
      <c r="BJ222" s="121">
        <f>BK222</f>
        <v>45759</v>
      </c>
      <c r="BK222" s="121">
        <v>45759</v>
      </c>
      <c r="BL222" s="25">
        <v>980</v>
      </c>
      <c r="BM222" s="24" t="s">
        <v>540</v>
      </c>
    </row>
    <row r="223" spans="1:65" ht="14.25" customHeight="1">
      <c r="A223" s="15" t="s">
        <v>0</v>
      </c>
      <c r="B223" s="19"/>
      <c r="C223" s="169"/>
      <c r="D223" s="120"/>
      <c r="E223" s="120"/>
      <c r="F223" s="120"/>
      <c r="G223" s="120"/>
      <c r="H223" s="170"/>
      <c r="I223" s="19"/>
      <c r="J223" s="19"/>
      <c r="K223" s="171"/>
      <c r="L223" s="163"/>
      <c r="M223" s="15"/>
      <c r="N223" s="15"/>
      <c r="O223" s="15"/>
      <c r="P223" s="165"/>
      <c r="Q223" s="163"/>
      <c r="R223" s="15"/>
      <c r="S223" s="165"/>
      <c r="T223" s="166"/>
      <c r="U223" s="166"/>
      <c r="V223" s="16">
        <v>333</v>
      </c>
      <c r="W223" s="15" t="s">
        <v>499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67"/>
      <c r="AM223" s="15"/>
      <c r="AN223" s="15"/>
      <c r="AO223" s="15"/>
      <c r="AP223" s="15"/>
      <c r="AQ223" s="24"/>
      <c r="AR223" s="24"/>
      <c r="AS223" s="25"/>
      <c r="AT223" s="25"/>
      <c r="AU223" s="168"/>
      <c r="AV223" s="15"/>
      <c r="AW223" s="24"/>
      <c r="AX223" s="268"/>
      <c r="AY223" s="268"/>
      <c r="AZ223" s="24"/>
      <c r="BA223" s="168"/>
      <c r="BB223" s="24"/>
      <c r="BC223" s="15"/>
      <c r="BD223" s="15"/>
      <c r="BE223" s="24"/>
      <c r="BF223" s="24"/>
      <c r="BG223" s="15"/>
      <c r="BH223" s="16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69" t="s">
        <v>42</v>
      </c>
      <c r="D224" s="120">
        <v>6.3620000000000001</v>
      </c>
      <c r="E224" s="120">
        <f>D224*4</f>
        <v>25.448</v>
      </c>
      <c r="F224" s="120">
        <f>E224*8</f>
        <v>203.584</v>
      </c>
      <c r="G224" s="120"/>
      <c r="H224" s="170"/>
      <c r="I224" s="19"/>
      <c r="J224" s="19"/>
      <c r="K224" s="171"/>
      <c r="L224" s="163">
        <v>2.25</v>
      </c>
      <c r="M224" s="15">
        <v>2.1880000000000002</v>
      </c>
      <c r="N224" s="15">
        <v>2E-3</v>
      </c>
      <c r="O224" s="15">
        <v>0.183</v>
      </c>
      <c r="P224" s="165">
        <f t="shared" si="80"/>
        <v>4.6230000000000002</v>
      </c>
      <c r="Q224" s="163">
        <v>0.24399999999999999</v>
      </c>
      <c r="R224" s="15">
        <v>5.0000000000000001E-3</v>
      </c>
      <c r="S224" s="165">
        <f t="shared" si="81"/>
        <v>0.249</v>
      </c>
      <c r="T224" s="166" t="s">
        <v>31</v>
      </c>
      <c r="U224" s="166" t="s">
        <v>535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67"/>
      <c r="AM224" s="127" t="s">
        <v>20</v>
      </c>
      <c r="AN224" s="121" t="str">
        <f>AO224</f>
        <v>D</v>
      </c>
      <c r="AO224" s="121" t="s">
        <v>21</v>
      </c>
      <c r="AP224" s="338">
        <v>45543</v>
      </c>
      <c r="AQ224" s="338">
        <v>45546</v>
      </c>
      <c r="AR224" s="338">
        <v>45547</v>
      </c>
      <c r="AS224" s="507">
        <v>45550</v>
      </c>
      <c r="AT224" s="25" t="s">
        <v>538</v>
      </c>
      <c r="AU224" s="173"/>
      <c r="AV224" s="127" t="s">
        <v>20</v>
      </c>
      <c r="AW224" s="15" t="s">
        <v>6</v>
      </c>
      <c r="AX224" s="268">
        <v>45650</v>
      </c>
      <c r="AY224" s="268">
        <v>45650</v>
      </c>
      <c r="AZ224" s="172" t="s">
        <v>538</v>
      </c>
      <c r="BA224" s="173"/>
      <c r="BB224" s="127" t="s">
        <v>20</v>
      </c>
      <c r="BC224" s="121"/>
      <c r="BD224" s="121" t="s">
        <v>21</v>
      </c>
      <c r="BE224" s="269">
        <v>45651</v>
      </c>
      <c r="BF224" s="269">
        <v>45652</v>
      </c>
      <c r="BG224" s="15" t="s">
        <v>583</v>
      </c>
      <c r="BH224" s="179"/>
      <c r="BI224" s="127" t="s">
        <v>20</v>
      </c>
      <c r="BJ224" s="121">
        <f>BK224</f>
        <v>45746</v>
      </c>
      <c r="BK224" s="121">
        <v>45746</v>
      </c>
      <c r="BL224" s="25">
        <v>980</v>
      </c>
      <c r="BM224" s="24" t="s">
        <v>540</v>
      </c>
    </row>
    <row r="225" spans="1:65" ht="14.25" customHeight="1">
      <c r="A225" s="15" t="s">
        <v>0</v>
      </c>
      <c r="B225" s="19"/>
      <c r="C225" s="169"/>
      <c r="D225" s="120"/>
      <c r="E225" s="120"/>
      <c r="F225" s="120"/>
      <c r="G225" s="120"/>
      <c r="H225" s="170"/>
      <c r="I225" s="19"/>
      <c r="J225" s="19"/>
      <c r="K225" s="171"/>
      <c r="L225" s="163"/>
      <c r="M225" s="15"/>
      <c r="N225" s="15"/>
      <c r="O225" s="15"/>
      <c r="P225" s="165"/>
      <c r="Q225" s="163"/>
      <c r="R225" s="15"/>
      <c r="S225" s="165"/>
      <c r="T225" s="166"/>
      <c r="U225" s="166"/>
      <c r="V225" s="16">
        <v>363</v>
      </c>
      <c r="W225" s="15" t="s">
        <v>499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67"/>
      <c r="AM225" s="15"/>
      <c r="AN225" s="24"/>
      <c r="AO225" s="24"/>
      <c r="AP225" s="24"/>
      <c r="AQ225" s="24"/>
      <c r="AR225" s="24"/>
      <c r="AS225" s="25"/>
      <c r="AT225" s="25"/>
      <c r="AU225" s="168"/>
      <c r="AV225" s="15"/>
      <c r="AW225" s="24"/>
      <c r="AX225" s="268"/>
      <c r="AY225" s="268"/>
      <c r="AZ225" s="24"/>
      <c r="BA225" s="168"/>
      <c r="BB225" s="24"/>
      <c r="BC225" s="24"/>
      <c r="BD225" s="24"/>
      <c r="BE225" s="24"/>
      <c r="BF225" s="24"/>
      <c r="BG225" s="24"/>
      <c r="BH225" s="168"/>
      <c r="BI225" s="24"/>
      <c r="BJ225" s="12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69" t="s">
        <v>56</v>
      </c>
      <c r="D226" s="120">
        <v>7.6219999999999999</v>
      </c>
      <c r="E226" s="120">
        <f>D226*4</f>
        <v>30.488</v>
      </c>
      <c r="F226" s="120">
        <f>E226*8</f>
        <v>243.904</v>
      </c>
      <c r="G226" s="120"/>
      <c r="H226" s="170"/>
      <c r="I226" s="19"/>
      <c r="J226" s="19"/>
      <c r="K226" s="171"/>
      <c r="L226" s="163">
        <v>2.6789999999999998</v>
      </c>
      <c r="M226" s="15">
        <v>3.133</v>
      </c>
      <c r="N226" s="15">
        <v>2.5000000000000001E-3</v>
      </c>
      <c r="O226" s="15">
        <v>0.23299999999999998</v>
      </c>
      <c r="P226" s="165">
        <f t="shared" si="80"/>
        <v>6.0474999999999994</v>
      </c>
      <c r="Q226" s="163">
        <v>0.24399999999999999</v>
      </c>
      <c r="R226" s="15">
        <v>5.0000000000000001E-3</v>
      </c>
      <c r="S226" s="165">
        <f t="shared" si="81"/>
        <v>0.249</v>
      </c>
      <c r="T226" s="166" t="s">
        <v>31</v>
      </c>
      <c r="U226" s="166" t="s">
        <v>535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67"/>
      <c r="AM226" s="127" t="s">
        <v>20</v>
      </c>
      <c r="AN226" s="121" t="str">
        <f>AO226</f>
        <v>D</v>
      </c>
      <c r="AO226" s="121" t="s">
        <v>21</v>
      </c>
      <c r="AP226" s="338">
        <v>45531</v>
      </c>
      <c r="AQ226" s="338">
        <v>45551</v>
      </c>
      <c r="AR226" s="338">
        <v>45584</v>
      </c>
      <c r="AS226" s="507">
        <v>45589</v>
      </c>
      <c r="AT226" s="25" t="s">
        <v>538</v>
      </c>
      <c r="AU226" s="173"/>
      <c r="AV226" s="127" t="s">
        <v>20</v>
      </c>
      <c r="AW226" s="15" t="s">
        <v>6</v>
      </c>
      <c r="AX226" s="268">
        <v>45650</v>
      </c>
      <c r="AY226" s="268">
        <v>45650</v>
      </c>
      <c r="AZ226" s="172" t="s">
        <v>538</v>
      </c>
      <c r="BA226" s="173"/>
      <c r="BB226" s="127" t="s">
        <v>20</v>
      </c>
      <c r="BC226" s="121"/>
      <c r="BD226" s="121" t="s">
        <v>21</v>
      </c>
      <c r="BE226" s="269">
        <f>BF226-2</f>
        <v>45693</v>
      </c>
      <c r="BF226" s="269">
        <v>45695</v>
      </c>
      <c r="BG226" s="15" t="s">
        <v>505</v>
      </c>
      <c r="BH226" s="177"/>
      <c r="BI226" s="127" t="s">
        <v>20</v>
      </c>
      <c r="BJ226" s="121">
        <f>BK226</f>
        <v>45747</v>
      </c>
      <c r="BK226" s="121">
        <v>45747</v>
      </c>
      <c r="BL226" s="25">
        <v>1545</v>
      </c>
      <c r="BM226" s="24" t="s">
        <v>540</v>
      </c>
    </row>
    <row r="227" spans="1:65" ht="14.25" customHeight="1">
      <c r="A227" s="15" t="s">
        <v>0</v>
      </c>
      <c r="B227" s="19"/>
      <c r="C227" s="169"/>
      <c r="D227" s="120"/>
      <c r="E227" s="120"/>
      <c r="F227" s="120"/>
      <c r="G227" s="120"/>
      <c r="H227" s="170"/>
      <c r="I227" s="19"/>
      <c r="J227" s="19"/>
      <c r="K227" s="171"/>
      <c r="L227" s="163"/>
      <c r="M227" s="15"/>
      <c r="N227" s="15"/>
      <c r="O227" s="15"/>
      <c r="P227" s="165"/>
      <c r="Q227" s="163"/>
      <c r="R227" s="15"/>
      <c r="S227" s="165"/>
      <c r="T227" s="166"/>
      <c r="U227" s="166"/>
      <c r="V227" s="16">
        <v>384</v>
      </c>
      <c r="W227" s="15" t="s">
        <v>536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67"/>
      <c r="AM227" s="15"/>
      <c r="AN227" s="24"/>
      <c r="AO227" s="24"/>
      <c r="AP227" s="24"/>
      <c r="AQ227" s="24"/>
      <c r="AR227" s="24"/>
      <c r="AS227" s="25"/>
      <c r="AT227" s="25"/>
      <c r="AU227" s="168"/>
      <c r="AV227" s="15"/>
      <c r="AW227" s="24"/>
      <c r="AX227" s="268"/>
      <c r="AY227" s="268"/>
      <c r="AZ227" s="24"/>
      <c r="BA227" s="168"/>
      <c r="BB227" s="24"/>
      <c r="BC227" s="24"/>
      <c r="BD227" s="24"/>
      <c r="BE227" s="24"/>
      <c r="BF227" s="24"/>
      <c r="BG227" s="24"/>
      <c r="BH227" s="168"/>
      <c r="BI227" s="568"/>
      <c r="BJ227" s="121"/>
      <c r="BK227" s="12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69" t="s">
        <v>37</v>
      </c>
      <c r="D228" s="120">
        <v>6.992</v>
      </c>
      <c r="E228" s="120">
        <f>D228*4</f>
        <v>27.968</v>
      </c>
      <c r="F228" s="120">
        <f>E228*8</f>
        <v>223.744</v>
      </c>
      <c r="G228" s="120"/>
      <c r="H228" s="170"/>
      <c r="I228" s="19"/>
      <c r="J228" s="19"/>
      <c r="K228" s="171"/>
      <c r="L228" s="163">
        <v>2.6070000000000002</v>
      </c>
      <c r="M228" s="15">
        <v>2.657</v>
      </c>
      <c r="N228" s="15">
        <v>2E-3</v>
      </c>
      <c r="O228" s="15">
        <v>0.21299999999999999</v>
      </c>
      <c r="P228" s="165">
        <f t="shared" si="80"/>
        <v>5.4790000000000001</v>
      </c>
      <c r="Q228" s="163">
        <v>0.24399999999999999</v>
      </c>
      <c r="R228" s="15">
        <v>5.0000000000000001E-3</v>
      </c>
      <c r="S228" s="165">
        <f t="shared" si="81"/>
        <v>0.249</v>
      </c>
      <c r="T228" s="166" t="s">
        <v>31</v>
      </c>
      <c r="U228" s="166" t="s">
        <v>535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67"/>
      <c r="AM228" s="127" t="s">
        <v>20</v>
      </c>
      <c r="AN228" s="121" t="s">
        <v>21</v>
      </c>
      <c r="AO228" s="121" t="s">
        <v>21</v>
      </c>
      <c r="AP228" s="338">
        <v>45628</v>
      </c>
      <c r="AQ228" s="338">
        <f t="shared" ref="AQ228:AR228" si="89">AR228-2</f>
        <v>45631</v>
      </c>
      <c r="AR228" s="338">
        <f t="shared" si="89"/>
        <v>45633</v>
      </c>
      <c r="AS228" s="507">
        <v>45635</v>
      </c>
      <c r="AT228" s="25" t="s">
        <v>584</v>
      </c>
      <c r="AU228" s="168"/>
      <c r="AV228" s="127" t="s">
        <v>20</v>
      </c>
      <c r="AW228" s="15" t="s">
        <v>6</v>
      </c>
      <c r="AX228" s="268">
        <v>45648</v>
      </c>
      <c r="AY228" s="268">
        <v>45648</v>
      </c>
      <c r="AZ228" s="172" t="s">
        <v>538</v>
      </c>
      <c r="BA228" s="173"/>
      <c r="BB228" s="127" t="s">
        <v>20</v>
      </c>
      <c r="BC228" s="121"/>
      <c r="BD228" s="121" t="s">
        <v>21</v>
      </c>
      <c r="BE228" s="269">
        <f>BF228-2</f>
        <v>45695</v>
      </c>
      <c r="BF228" s="269">
        <v>45697</v>
      </c>
      <c r="BG228" s="15" t="s">
        <v>505</v>
      </c>
      <c r="BH228" s="177"/>
      <c r="BI228" s="127" t="s">
        <v>20</v>
      </c>
      <c r="BJ228" s="121">
        <f>BK228</f>
        <v>45747</v>
      </c>
      <c r="BK228" s="121">
        <v>45747</v>
      </c>
      <c r="BL228" s="25">
        <v>1330</v>
      </c>
      <c r="BM228" s="24" t="s">
        <v>540</v>
      </c>
    </row>
    <row r="229" spans="1:65" ht="14.25" customHeight="1">
      <c r="A229" s="15" t="s">
        <v>0</v>
      </c>
      <c r="B229" s="19"/>
      <c r="C229" s="169"/>
      <c r="D229" s="120"/>
      <c r="E229" s="120"/>
      <c r="F229" s="120"/>
      <c r="G229" s="120"/>
      <c r="H229" s="170"/>
      <c r="I229" s="19"/>
      <c r="J229" s="19"/>
      <c r="K229" s="171"/>
      <c r="L229" s="163"/>
      <c r="M229" s="15"/>
      <c r="N229" s="15"/>
      <c r="O229" s="15"/>
      <c r="P229" s="165"/>
      <c r="Q229" s="163"/>
      <c r="R229" s="15"/>
      <c r="S229" s="165"/>
      <c r="T229" s="166"/>
      <c r="U229" s="166"/>
      <c r="V229" s="16">
        <v>361</v>
      </c>
      <c r="W229" s="15" t="s">
        <v>536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67"/>
      <c r="AM229" s="15"/>
      <c r="AN229" s="24"/>
      <c r="AO229" s="24"/>
      <c r="AP229" s="24"/>
      <c r="AQ229" s="24"/>
      <c r="AR229" s="24"/>
      <c r="AS229" s="25"/>
      <c r="AT229" s="25"/>
      <c r="AU229" s="168"/>
      <c r="AV229" s="15"/>
      <c r="AW229" s="24"/>
      <c r="AX229" s="268"/>
      <c r="AY229" s="268"/>
      <c r="AZ229" s="24"/>
      <c r="BA229" s="168"/>
      <c r="BB229" s="24"/>
      <c r="BC229" s="24"/>
      <c r="BD229" s="24"/>
      <c r="BE229" s="24"/>
      <c r="BF229" s="24"/>
      <c r="BG229" s="24"/>
      <c r="BH229" s="168"/>
      <c r="BI229" s="24"/>
      <c r="BJ229" s="12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69" t="s">
        <v>42</v>
      </c>
      <c r="D230" s="120">
        <v>6.3620000000000001</v>
      </c>
      <c r="E230" s="120">
        <f>D230*4</f>
        <v>25.448</v>
      </c>
      <c r="F230" s="120">
        <f>E230*8</f>
        <v>203.584</v>
      </c>
      <c r="G230" s="120"/>
      <c r="H230" s="170"/>
      <c r="I230" s="19"/>
      <c r="J230" s="19"/>
      <c r="K230" s="171"/>
      <c r="L230" s="163">
        <v>2.25</v>
      </c>
      <c r="M230" s="15">
        <v>2.1880000000000002</v>
      </c>
      <c r="N230" s="15">
        <v>2E-3</v>
      </c>
      <c r="O230" s="15">
        <v>0.183</v>
      </c>
      <c r="P230" s="165">
        <f t="shared" si="80"/>
        <v>4.6230000000000002</v>
      </c>
      <c r="Q230" s="163">
        <v>0.24399999999999999</v>
      </c>
      <c r="R230" s="15">
        <v>5.0000000000000001E-3</v>
      </c>
      <c r="S230" s="165">
        <f t="shared" si="81"/>
        <v>0.249</v>
      </c>
      <c r="T230" s="166" t="s">
        <v>31</v>
      </c>
      <c r="U230" s="166" t="s">
        <v>535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67"/>
      <c r="AM230" s="127" t="s">
        <v>20</v>
      </c>
      <c r="AN230" s="121" t="str">
        <f>AO230</f>
        <v>D</v>
      </c>
      <c r="AO230" s="121" t="s">
        <v>21</v>
      </c>
      <c r="AP230" s="338">
        <v>45588</v>
      </c>
      <c r="AQ230" s="338">
        <f>AP230+2</f>
        <v>45590</v>
      </c>
      <c r="AR230" s="338">
        <f>AS230-2</f>
        <v>45600</v>
      </c>
      <c r="AS230" s="507">
        <v>45602</v>
      </c>
      <c r="AT230" s="25" t="s">
        <v>584</v>
      </c>
      <c r="AU230" s="173"/>
      <c r="AV230" s="127" t="s">
        <v>20</v>
      </c>
      <c r="AW230" s="15" t="s">
        <v>6</v>
      </c>
      <c r="AX230" s="268">
        <v>45648</v>
      </c>
      <c r="AY230" s="268">
        <v>45648</v>
      </c>
      <c r="AZ230" s="172" t="s">
        <v>538</v>
      </c>
      <c r="BA230" s="173"/>
      <c r="BB230" s="127" t="s">
        <v>20</v>
      </c>
      <c r="BC230" s="121"/>
      <c r="BD230" s="121" t="s">
        <v>21</v>
      </c>
      <c r="BE230" s="269">
        <f>BF230-1</f>
        <v>45699</v>
      </c>
      <c r="BF230" s="269">
        <v>45700</v>
      </c>
      <c r="BG230" s="15" t="s">
        <v>505</v>
      </c>
      <c r="BH230" s="179"/>
      <c r="BI230" s="127" t="s">
        <v>20</v>
      </c>
      <c r="BJ230" s="121">
        <f>BK230</f>
        <v>45749</v>
      </c>
      <c r="BK230" s="121">
        <v>45749</v>
      </c>
      <c r="BL230" s="25">
        <v>980</v>
      </c>
      <c r="BM230" s="24" t="s">
        <v>540</v>
      </c>
    </row>
    <row r="231" spans="1:65" ht="14.25" customHeight="1">
      <c r="A231" s="15" t="s">
        <v>0</v>
      </c>
      <c r="B231" s="19"/>
      <c r="C231" s="169"/>
      <c r="D231" s="120"/>
      <c r="E231" s="120"/>
      <c r="F231" s="120"/>
      <c r="G231" s="120"/>
      <c r="H231" s="170"/>
      <c r="I231" s="19"/>
      <c r="J231" s="19"/>
      <c r="K231" s="171"/>
      <c r="L231" s="163"/>
      <c r="M231" s="15"/>
      <c r="N231" s="15"/>
      <c r="O231" s="15"/>
      <c r="P231" s="165"/>
      <c r="Q231" s="163"/>
      <c r="R231" s="15"/>
      <c r="S231" s="165"/>
      <c r="T231" s="166"/>
      <c r="U231" s="166"/>
      <c r="V231" s="16">
        <v>311</v>
      </c>
      <c r="W231" s="15" t="s">
        <v>536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67"/>
      <c r="AM231" s="15"/>
      <c r="AN231" s="24"/>
      <c r="AO231" s="24"/>
      <c r="AP231" s="24"/>
      <c r="AQ231" s="24"/>
      <c r="AR231" s="24"/>
      <c r="AS231" s="25"/>
      <c r="AT231" s="25"/>
      <c r="AU231" s="168"/>
      <c r="AV231" s="15"/>
      <c r="AW231" s="24"/>
      <c r="AX231" s="268"/>
      <c r="AY231" s="268"/>
      <c r="AZ231" s="24"/>
      <c r="BA231" s="168"/>
      <c r="BB231" s="24"/>
      <c r="BC231" s="24"/>
      <c r="BD231" s="24"/>
      <c r="BE231" s="24"/>
      <c r="BF231" s="24"/>
      <c r="BG231" s="24"/>
      <c r="BH231" s="168"/>
      <c r="BI231" s="24"/>
      <c r="BJ231" s="12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69" t="s">
        <v>37</v>
      </c>
      <c r="D232" s="120">
        <v>6.992</v>
      </c>
      <c r="E232" s="120">
        <f>D232*4</f>
        <v>27.968</v>
      </c>
      <c r="F232" s="120">
        <f>E232*8</f>
        <v>223.744</v>
      </c>
      <c r="G232" s="120"/>
      <c r="H232" s="170"/>
      <c r="I232" s="19"/>
      <c r="J232" s="19"/>
      <c r="K232" s="171"/>
      <c r="L232" s="163">
        <v>2.6070000000000002</v>
      </c>
      <c r="M232" s="15">
        <v>2.657</v>
      </c>
      <c r="N232" s="15">
        <v>2E-3</v>
      </c>
      <c r="O232" s="15">
        <v>0.21299999999999999</v>
      </c>
      <c r="P232" s="165">
        <f t="shared" si="80"/>
        <v>5.4790000000000001</v>
      </c>
      <c r="Q232" s="163">
        <v>0.24399999999999999</v>
      </c>
      <c r="R232" s="15">
        <v>5.0000000000000001E-3</v>
      </c>
      <c r="S232" s="165">
        <f t="shared" si="81"/>
        <v>0.249</v>
      </c>
      <c r="T232" s="166" t="s">
        <v>31</v>
      </c>
      <c r="U232" s="166" t="s">
        <v>535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67"/>
      <c r="AM232" s="127" t="s">
        <v>20</v>
      </c>
      <c r="AN232" s="121" t="str">
        <f>AO232</f>
        <v>D</v>
      </c>
      <c r="AO232" s="121" t="s">
        <v>21</v>
      </c>
      <c r="AP232" s="338">
        <v>45594</v>
      </c>
      <c r="AQ232" s="338">
        <v>45596</v>
      </c>
      <c r="AR232" s="338">
        <v>45598</v>
      </c>
      <c r="AS232" s="507">
        <v>45599</v>
      </c>
      <c r="AT232" s="25" t="s">
        <v>538</v>
      </c>
      <c r="AU232" s="173"/>
      <c r="AV232" s="127" t="s">
        <v>20</v>
      </c>
      <c r="AW232" s="15" t="s">
        <v>543</v>
      </c>
      <c r="AX232" s="268">
        <v>45648</v>
      </c>
      <c r="AY232" s="268">
        <v>45648</v>
      </c>
      <c r="AZ232" s="172" t="s">
        <v>538</v>
      </c>
      <c r="BA232" s="173"/>
      <c r="BB232" s="127" t="s">
        <v>20</v>
      </c>
      <c r="BC232" s="121"/>
      <c r="BD232" s="121" t="s">
        <v>21</v>
      </c>
      <c r="BE232" s="269">
        <f>BF232-2</f>
        <v>45697</v>
      </c>
      <c r="BF232" s="269">
        <v>45699</v>
      </c>
      <c r="BG232" s="15" t="s">
        <v>505</v>
      </c>
      <c r="BH232" s="168"/>
      <c r="BI232" s="127" t="s">
        <v>20</v>
      </c>
      <c r="BJ232" s="121">
        <f>BK232</f>
        <v>45749</v>
      </c>
      <c r="BK232" s="121">
        <v>45749</v>
      </c>
      <c r="BL232" s="25">
        <v>1330</v>
      </c>
      <c r="BM232" s="24" t="s">
        <v>540</v>
      </c>
    </row>
    <row r="233" spans="1:65" ht="14.25" customHeight="1">
      <c r="A233" s="15" t="s">
        <v>0</v>
      </c>
      <c r="B233" s="19"/>
      <c r="C233" s="169"/>
      <c r="D233" s="120"/>
      <c r="E233" s="120"/>
      <c r="F233" s="120"/>
      <c r="G233" s="120"/>
      <c r="H233" s="170"/>
      <c r="I233" s="19"/>
      <c r="J233" s="19"/>
      <c r="K233" s="171"/>
      <c r="L233" s="163"/>
      <c r="M233" s="15"/>
      <c r="N233" s="15"/>
      <c r="O233" s="15"/>
      <c r="P233" s="165"/>
      <c r="Q233" s="163"/>
      <c r="R233" s="15"/>
      <c r="S233" s="165"/>
      <c r="T233" s="166"/>
      <c r="U233" s="166"/>
      <c r="V233" s="16">
        <v>381</v>
      </c>
      <c r="W233" s="15" t="s">
        <v>564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67"/>
      <c r="AM233" s="15"/>
      <c r="AN233" s="24"/>
      <c r="AO233" s="24"/>
      <c r="AP233" s="24"/>
      <c r="AQ233" s="24"/>
      <c r="AR233" s="24"/>
      <c r="AS233" s="25"/>
      <c r="AT233" s="25"/>
      <c r="AU233" s="168"/>
      <c r="AV233" s="15"/>
      <c r="AW233" s="24"/>
      <c r="AX233" s="268"/>
      <c r="AY233" s="268"/>
      <c r="AZ233" s="24"/>
      <c r="BA233" s="168"/>
      <c r="BB233" s="24"/>
      <c r="BC233" s="24"/>
      <c r="BD233" s="24"/>
      <c r="BE233" s="24"/>
      <c r="BF233" s="24"/>
      <c r="BG233" s="24"/>
      <c r="BH233" s="16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69" t="s">
        <v>42</v>
      </c>
      <c r="D234" s="120">
        <v>6.3620000000000001</v>
      </c>
      <c r="E234" s="120">
        <f>D234*4</f>
        <v>25.448</v>
      </c>
      <c r="F234" s="120">
        <f>E234*8</f>
        <v>203.584</v>
      </c>
      <c r="G234" s="120"/>
      <c r="H234" s="170"/>
      <c r="I234" s="19"/>
      <c r="J234" s="19"/>
      <c r="K234" s="171"/>
      <c r="L234" s="163">
        <v>2.25</v>
      </c>
      <c r="M234" s="15">
        <v>2.1880000000000002</v>
      </c>
      <c r="N234" s="15">
        <v>2E-3</v>
      </c>
      <c r="O234" s="15">
        <v>0.183</v>
      </c>
      <c r="P234" s="165">
        <f t="shared" si="80"/>
        <v>4.6230000000000002</v>
      </c>
      <c r="Q234" s="163">
        <v>0.24399999999999999</v>
      </c>
      <c r="R234" s="15">
        <v>5.0000000000000001E-3</v>
      </c>
      <c r="S234" s="165">
        <f t="shared" si="81"/>
        <v>0.249</v>
      </c>
      <c r="T234" s="166" t="s">
        <v>31</v>
      </c>
      <c r="U234" s="166" t="s">
        <v>535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67"/>
      <c r="AM234" s="127" t="s">
        <v>20</v>
      </c>
      <c r="AN234" s="121" t="str">
        <f>AO234</f>
        <v>D</v>
      </c>
      <c r="AO234" s="121" t="s">
        <v>21</v>
      </c>
      <c r="AP234" s="338">
        <v>45599</v>
      </c>
      <c r="AQ234" s="338">
        <v>45602</v>
      </c>
      <c r="AR234" s="338">
        <v>45605</v>
      </c>
      <c r="AS234" s="507">
        <v>45605</v>
      </c>
      <c r="AT234" s="25" t="s">
        <v>538</v>
      </c>
      <c r="AU234" s="173"/>
      <c r="AV234" s="127" t="s">
        <v>20</v>
      </c>
      <c r="AW234" s="15" t="s">
        <v>543</v>
      </c>
      <c r="AX234" s="268">
        <v>45648</v>
      </c>
      <c r="AY234" s="268">
        <v>45648</v>
      </c>
      <c r="AZ234" s="172" t="s">
        <v>538</v>
      </c>
      <c r="BA234" s="173"/>
      <c r="BB234" s="127" t="s">
        <v>20</v>
      </c>
      <c r="BC234" s="121"/>
      <c r="BD234" s="121" t="s">
        <v>21</v>
      </c>
      <c r="BE234" s="269">
        <f>BF234-2</f>
        <v>45699</v>
      </c>
      <c r="BF234" s="269">
        <v>45701</v>
      </c>
      <c r="BG234" s="15" t="s">
        <v>505</v>
      </c>
      <c r="BH234" s="168"/>
      <c r="BI234" s="127" t="s">
        <v>20</v>
      </c>
      <c r="BJ234" s="121">
        <f>BK234</f>
        <v>45806</v>
      </c>
      <c r="BK234" s="121">
        <v>45806</v>
      </c>
      <c r="BL234" s="25">
        <v>980</v>
      </c>
      <c r="BM234" s="24" t="s">
        <v>540</v>
      </c>
    </row>
    <row r="235" spans="1:65" ht="14.25" customHeight="1">
      <c r="A235" s="15" t="s">
        <v>0</v>
      </c>
      <c r="B235" s="19"/>
      <c r="C235" s="169"/>
      <c r="D235" s="120"/>
      <c r="E235" s="120"/>
      <c r="F235" s="120"/>
      <c r="G235" s="120"/>
      <c r="H235" s="170"/>
      <c r="I235" s="19"/>
      <c r="J235" s="19"/>
      <c r="K235" s="171"/>
      <c r="L235" s="163"/>
      <c r="M235" s="15"/>
      <c r="N235" s="15"/>
      <c r="O235" s="15"/>
      <c r="P235" s="165"/>
      <c r="Q235" s="163"/>
      <c r="R235" s="15"/>
      <c r="S235" s="165"/>
      <c r="T235" s="166"/>
      <c r="U235" s="166"/>
      <c r="V235" s="16">
        <v>316</v>
      </c>
      <c r="W235" s="15" t="s">
        <v>585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67"/>
      <c r="AM235" s="15"/>
      <c r="AN235" s="24"/>
      <c r="AO235" s="24"/>
      <c r="AP235" s="24"/>
      <c r="AQ235" s="24"/>
      <c r="AR235" s="24"/>
      <c r="AS235" s="25"/>
      <c r="AT235" s="25"/>
      <c r="AU235" s="168"/>
      <c r="AV235" s="15"/>
      <c r="AW235" s="24"/>
      <c r="AX235" s="268"/>
      <c r="AY235" s="268"/>
      <c r="AZ235" s="24"/>
      <c r="BA235" s="168"/>
      <c r="BB235" s="24"/>
      <c r="BC235" s="24"/>
      <c r="BD235" s="24"/>
      <c r="BE235" s="24"/>
      <c r="BF235" s="24"/>
      <c r="BG235" s="24"/>
      <c r="BH235" s="16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69" t="s">
        <v>42</v>
      </c>
      <c r="D236" s="120">
        <v>6.3620000000000001</v>
      </c>
      <c r="E236" s="120">
        <f>D236*4</f>
        <v>25.448</v>
      </c>
      <c r="F236" s="120">
        <f>E236*8</f>
        <v>203.584</v>
      </c>
      <c r="G236" s="120"/>
      <c r="H236" s="170"/>
      <c r="I236" s="19"/>
      <c r="J236" s="19"/>
      <c r="K236" s="171"/>
      <c r="L236" s="163">
        <v>2.25</v>
      </c>
      <c r="M236" s="15">
        <v>2.1880000000000002</v>
      </c>
      <c r="N236" s="15">
        <v>2E-3</v>
      </c>
      <c r="O236" s="15">
        <v>0.183</v>
      </c>
      <c r="P236" s="165">
        <f t="shared" si="80"/>
        <v>4.6230000000000002</v>
      </c>
      <c r="Q236" s="163">
        <v>0.24399999999999999</v>
      </c>
      <c r="R236" s="15">
        <v>5.0000000000000001E-3</v>
      </c>
      <c r="S236" s="165">
        <f t="shared" si="81"/>
        <v>0.249</v>
      </c>
      <c r="T236" s="166" t="s">
        <v>31</v>
      </c>
      <c r="U236" s="166" t="s">
        <v>535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67"/>
      <c r="AM236" s="127" t="s">
        <v>20</v>
      </c>
      <c r="AN236" s="121" t="str">
        <f>AO236</f>
        <v>D</v>
      </c>
      <c r="AO236" s="121" t="s">
        <v>21</v>
      </c>
      <c r="AP236" s="338">
        <v>45603</v>
      </c>
      <c r="AQ236" s="338">
        <f t="shared" ref="AQ236:AR236" si="90">AR236-2</f>
        <v>45604</v>
      </c>
      <c r="AR236" s="338">
        <f t="shared" si="90"/>
        <v>45606</v>
      </c>
      <c r="AS236" s="507">
        <v>45608</v>
      </c>
      <c r="AT236" s="25" t="s">
        <v>584</v>
      </c>
      <c r="AU236" s="168"/>
      <c r="AV236" s="127" t="s">
        <v>20</v>
      </c>
      <c r="AW236" s="15" t="s">
        <v>543</v>
      </c>
      <c r="AX236" s="268">
        <v>45648</v>
      </c>
      <c r="AY236" s="268">
        <v>45648</v>
      </c>
      <c r="AZ236" s="172" t="s">
        <v>538</v>
      </c>
      <c r="BA236" s="173"/>
      <c r="BB236" s="127" t="s">
        <v>20</v>
      </c>
      <c r="BC236" s="121"/>
      <c r="BD236" s="121" t="s">
        <v>21</v>
      </c>
      <c r="BE236" s="269">
        <f>BF236-1</f>
        <v>45704</v>
      </c>
      <c r="BF236" s="269">
        <v>45705</v>
      </c>
      <c r="BG236" s="15" t="s">
        <v>505</v>
      </c>
      <c r="BH236" s="178"/>
      <c r="BI236" s="127" t="s">
        <v>20</v>
      </c>
      <c r="BJ236" s="121">
        <f>BK236</f>
        <v>45760</v>
      </c>
      <c r="BK236" s="121">
        <v>45760</v>
      </c>
      <c r="BL236" s="25">
        <v>980</v>
      </c>
      <c r="BM236" s="24" t="s">
        <v>540</v>
      </c>
    </row>
    <row r="237" spans="1:65" ht="14.25" customHeight="1">
      <c r="A237" s="15" t="s">
        <v>0</v>
      </c>
      <c r="B237" s="19"/>
      <c r="C237" s="169"/>
      <c r="D237" s="120"/>
      <c r="E237" s="120"/>
      <c r="F237" s="120"/>
      <c r="G237" s="120"/>
      <c r="H237" s="170"/>
      <c r="I237" s="19"/>
      <c r="J237" s="19"/>
      <c r="K237" s="171"/>
      <c r="L237" s="163"/>
      <c r="M237" s="15"/>
      <c r="N237" s="15"/>
      <c r="O237" s="15"/>
      <c r="P237" s="165"/>
      <c r="Q237" s="163"/>
      <c r="R237" s="15"/>
      <c r="S237" s="165"/>
      <c r="T237" s="166"/>
      <c r="U237" s="166"/>
      <c r="V237" s="16">
        <v>290.45</v>
      </c>
      <c r="W237" s="15" t="s">
        <v>585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67"/>
      <c r="AM237" s="15"/>
      <c r="AN237" s="24"/>
      <c r="AO237" s="24"/>
      <c r="AP237" s="24"/>
      <c r="AQ237" s="24"/>
      <c r="AR237" s="24"/>
      <c r="AS237" s="25"/>
      <c r="AT237" s="25"/>
      <c r="AU237" s="168"/>
      <c r="AV237" s="15"/>
      <c r="AW237" s="24"/>
      <c r="AX237" s="268"/>
      <c r="AY237" s="268"/>
      <c r="AZ237" s="24"/>
      <c r="BA237" s="168"/>
      <c r="BB237" s="24"/>
      <c r="BC237" s="24"/>
      <c r="BD237" s="24"/>
      <c r="BE237" s="24"/>
      <c r="BF237" s="24"/>
      <c r="BG237" s="24"/>
      <c r="BH237" s="16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69" t="s">
        <v>39</v>
      </c>
      <c r="D238" s="120">
        <v>7.7080000000000002</v>
      </c>
      <c r="E238" s="120">
        <f>D238*4</f>
        <v>30.832000000000001</v>
      </c>
      <c r="F238" s="120">
        <f>E238*8</f>
        <v>246.65600000000001</v>
      </c>
      <c r="G238" s="120"/>
      <c r="H238" s="170"/>
      <c r="I238" s="19"/>
      <c r="J238" s="19"/>
      <c r="K238" s="171"/>
      <c r="L238" s="163">
        <v>4.0570000000000004</v>
      </c>
      <c r="M238" s="15">
        <v>2.48</v>
      </c>
      <c r="N238" s="15">
        <v>6.0000000000000001E-3</v>
      </c>
      <c r="O238" s="15">
        <v>0.36499999999999999</v>
      </c>
      <c r="P238" s="165">
        <f t="shared" si="80"/>
        <v>6.9080000000000013</v>
      </c>
      <c r="Q238" s="163">
        <v>0.436</v>
      </c>
      <c r="R238" s="15">
        <v>0.01</v>
      </c>
      <c r="S238" s="165">
        <f t="shared" si="81"/>
        <v>0.44600000000000001</v>
      </c>
      <c r="T238" s="166" t="s">
        <v>190</v>
      </c>
      <c r="U238" s="166" t="s">
        <v>535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67"/>
      <c r="AM238" s="127" t="s">
        <v>20</v>
      </c>
      <c r="AN238" s="121" t="str">
        <f>AO238</f>
        <v>D</v>
      </c>
      <c r="AO238" s="121" t="s">
        <v>21</v>
      </c>
      <c r="AP238" s="338">
        <v>45570</v>
      </c>
      <c r="AQ238" s="338">
        <v>45571</v>
      </c>
      <c r="AR238" s="338">
        <v>45572</v>
      </c>
      <c r="AS238" s="507">
        <v>45575</v>
      </c>
      <c r="AT238" s="25" t="s">
        <v>538</v>
      </c>
      <c r="AU238" s="168"/>
      <c r="AV238" s="127" t="s">
        <v>20</v>
      </c>
      <c r="AW238" s="15" t="s">
        <v>6</v>
      </c>
      <c r="AX238" s="268">
        <v>45648</v>
      </c>
      <c r="AY238" s="268">
        <v>45648</v>
      </c>
      <c r="AZ238" s="172" t="s">
        <v>538</v>
      </c>
      <c r="BA238" s="173"/>
      <c r="BB238" s="127" t="s">
        <v>20</v>
      </c>
      <c r="BC238" s="121"/>
      <c r="BD238" s="121" t="s">
        <v>21</v>
      </c>
      <c r="BE238" s="269">
        <f>BF238-1</f>
        <v>45702</v>
      </c>
      <c r="BF238" s="269">
        <v>45703</v>
      </c>
      <c r="BG238" s="15" t="s">
        <v>505</v>
      </c>
      <c r="BH238" s="167"/>
      <c r="BI238" s="127" t="s">
        <v>20</v>
      </c>
      <c r="BJ238" s="121">
        <v>45740</v>
      </c>
      <c r="BK238" s="121">
        <f>BJ238</f>
        <v>45740</v>
      </c>
      <c r="BL238" s="25">
        <v>1001</v>
      </c>
      <c r="BM238" s="175" t="s">
        <v>540</v>
      </c>
    </row>
    <row r="239" spans="1:65" ht="14.25" customHeight="1">
      <c r="A239" s="15" t="s">
        <v>0</v>
      </c>
      <c r="B239" s="19"/>
      <c r="C239" s="169"/>
      <c r="D239" s="120"/>
      <c r="E239" s="120"/>
      <c r="F239" s="120"/>
      <c r="G239" s="120"/>
      <c r="H239" s="170"/>
      <c r="I239" s="19"/>
      <c r="J239" s="19"/>
      <c r="K239" s="171"/>
      <c r="L239" s="163"/>
      <c r="M239" s="15"/>
      <c r="N239" s="15"/>
      <c r="O239" s="15"/>
      <c r="P239" s="165"/>
      <c r="Q239" s="163"/>
      <c r="R239" s="15"/>
      <c r="S239" s="165"/>
      <c r="T239" s="166"/>
      <c r="U239" s="166"/>
      <c r="V239" s="16">
        <v>306</v>
      </c>
      <c r="W239" s="15" t="s">
        <v>578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67"/>
      <c r="AM239" s="15"/>
      <c r="AN239" s="24"/>
      <c r="AO239" s="24"/>
      <c r="AP239" s="24"/>
      <c r="AQ239" s="24"/>
      <c r="AR239" s="24"/>
      <c r="AS239" s="25"/>
      <c r="AT239" s="25"/>
      <c r="AU239" s="168"/>
      <c r="AV239" s="15"/>
      <c r="AW239" s="24"/>
      <c r="AX239" s="268"/>
      <c r="AY239" s="268"/>
      <c r="AZ239" s="24"/>
      <c r="BA239" s="168"/>
      <c r="BB239" s="24"/>
      <c r="BC239" s="24"/>
      <c r="BD239" s="24"/>
      <c r="BE239" s="24"/>
      <c r="BF239" s="24"/>
      <c r="BG239" s="24"/>
      <c r="BH239" s="16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69" t="s">
        <v>37</v>
      </c>
      <c r="D240" s="120">
        <v>6.992</v>
      </c>
      <c r="E240" s="120">
        <f>D240*4</f>
        <v>27.968</v>
      </c>
      <c r="F240" s="120">
        <f>E240*8</f>
        <v>223.744</v>
      </c>
      <c r="G240" s="120"/>
      <c r="H240" s="170"/>
      <c r="I240" s="19"/>
      <c r="J240" s="19"/>
      <c r="K240" s="171"/>
      <c r="L240" s="163">
        <v>2.6070000000000002</v>
      </c>
      <c r="M240" s="15">
        <v>2.657</v>
      </c>
      <c r="N240" s="15">
        <v>2E-3</v>
      </c>
      <c r="O240" s="15">
        <v>0.21299999999999999</v>
      </c>
      <c r="P240" s="165">
        <f t="shared" si="80"/>
        <v>5.4790000000000001</v>
      </c>
      <c r="Q240" s="163">
        <v>0.24399999999999999</v>
      </c>
      <c r="R240" s="15">
        <v>5.0000000000000001E-3</v>
      </c>
      <c r="S240" s="165">
        <f t="shared" si="81"/>
        <v>0.249</v>
      </c>
      <c r="T240" s="166" t="s">
        <v>31</v>
      </c>
      <c r="U240" s="166" t="s">
        <v>535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67"/>
      <c r="AM240" s="127" t="s">
        <v>20</v>
      </c>
      <c r="AN240" s="121" t="str">
        <f>AO240</f>
        <v>D</v>
      </c>
      <c r="AO240" s="121" t="s">
        <v>21</v>
      </c>
      <c r="AP240" s="338">
        <v>45557</v>
      </c>
      <c r="AQ240" s="338">
        <v>45558</v>
      </c>
      <c r="AR240" s="338">
        <v>45561</v>
      </c>
      <c r="AS240" s="507">
        <v>45566</v>
      </c>
      <c r="AT240" s="25" t="s">
        <v>538</v>
      </c>
      <c r="AU240" s="168"/>
      <c r="AV240" s="127" t="s">
        <v>20</v>
      </c>
      <c r="AW240" s="15" t="s">
        <v>6</v>
      </c>
      <c r="AX240" s="268">
        <v>45648</v>
      </c>
      <c r="AY240" s="268">
        <v>45648</v>
      </c>
      <c r="AZ240" s="172" t="s">
        <v>538</v>
      </c>
      <c r="BA240" s="173"/>
      <c r="BB240" s="127" t="s">
        <v>20</v>
      </c>
      <c r="BC240" s="121"/>
      <c r="BD240" s="121" t="s">
        <v>21</v>
      </c>
      <c r="BE240" s="269">
        <f>BF240-2</f>
        <v>45702</v>
      </c>
      <c r="BF240" s="269">
        <v>45704</v>
      </c>
      <c r="BG240" s="15" t="s">
        <v>505</v>
      </c>
      <c r="BH240" s="167"/>
      <c r="BI240" s="127" t="s">
        <v>20</v>
      </c>
      <c r="BJ240" s="121">
        <v>45741</v>
      </c>
      <c r="BK240" s="121">
        <f>BJ240</f>
        <v>45741</v>
      </c>
      <c r="BL240" s="25">
        <v>1330</v>
      </c>
      <c r="BM240" s="24" t="s">
        <v>540</v>
      </c>
    </row>
    <row r="241" spans="1:65" ht="14.25" customHeight="1">
      <c r="A241" s="15" t="s">
        <v>0</v>
      </c>
      <c r="B241" s="19"/>
      <c r="C241" s="169"/>
      <c r="D241" s="120"/>
      <c r="E241" s="120"/>
      <c r="F241" s="120"/>
      <c r="G241" s="120"/>
      <c r="H241" s="170"/>
      <c r="I241" s="19"/>
      <c r="J241" s="19"/>
      <c r="K241" s="171"/>
      <c r="L241" s="163"/>
      <c r="M241" s="15"/>
      <c r="N241" s="15"/>
      <c r="O241" s="15"/>
      <c r="P241" s="165"/>
      <c r="Q241" s="163"/>
      <c r="R241" s="15"/>
      <c r="S241" s="165"/>
      <c r="T241" s="166"/>
      <c r="U241" s="166"/>
      <c r="V241" s="16">
        <v>336</v>
      </c>
      <c r="W241" s="15" t="s">
        <v>536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67"/>
      <c r="AM241" s="15"/>
      <c r="AN241" s="24"/>
      <c r="AO241" s="24"/>
      <c r="AP241" s="24"/>
      <c r="AQ241" s="24"/>
      <c r="AR241" s="24"/>
      <c r="AS241" s="25"/>
      <c r="AT241" s="25"/>
      <c r="AU241" s="168"/>
      <c r="AV241" s="15"/>
      <c r="AW241" s="24"/>
      <c r="AX241" s="268"/>
      <c r="AY241" s="268"/>
      <c r="AZ241" s="24"/>
      <c r="BA241" s="168"/>
      <c r="BB241" s="24"/>
      <c r="BC241" s="24"/>
      <c r="BD241" s="24"/>
      <c r="BE241" s="24"/>
      <c r="BF241" s="24"/>
      <c r="BG241" s="24"/>
      <c r="BH241" s="16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69" t="s">
        <v>37</v>
      </c>
      <c r="D242" s="120">
        <v>6.992</v>
      </c>
      <c r="E242" s="120">
        <f>D242*4</f>
        <v>27.968</v>
      </c>
      <c r="F242" s="120">
        <f>E242*8</f>
        <v>223.744</v>
      </c>
      <c r="G242" s="120"/>
      <c r="H242" s="170"/>
      <c r="I242" s="19"/>
      <c r="J242" s="19"/>
      <c r="K242" s="171"/>
      <c r="L242" s="163">
        <v>2.6070000000000002</v>
      </c>
      <c r="M242" s="15">
        <v>2.657</v>
      </c>
      <c r="N242" s="15">
        <v>2E-3</v>
      </c>
      <c r="O242" s="15">
        <v>0.21299999999999999</v>
      </c>
      <c r="P242" s="165">
        <f t="shared" si="80"/>
        <v>5.4790000000000001</v>
      </c>
      <c r="Q242" s="163">
        <v>0.24399999999999999</v>
      </c>
      <c r="R242" s="15">
        <v>5.0000000000000001E-3</v>
      </c>
      <c r="S242" s="165">
        <f t="shared" si="81"/>
        <v>0.249</v>
      </c>
      <c r="T242" s="166" t="s">
        <v>31</v>
      </c>
      <c r="U242" s="166" t="s">
        <v>535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67"/>
      <c r="AM242" s="127" t="s">
        <v>20</v>
      </c>
      <c r="AN242" s="121" t="str">
        <f>AO242</f>
        <v>D</v>
      </c>
      <c r="AO242" s="121" t="s">
        <v>21</v>
      </c>
      <c r="AP242" s="338">
        <v>45557</v>
      </c>
      <c r="AQ242" s="338">
        <v>45575</v>
      </c>
      <c r="AR242" s="338">
        <v>45576</v>
      </c>
      <c r="AS242" s="507">
        <v>45592</v>
      </c>
      <c r="AT242" s="25" t="s">
        <v>584</v>
      </c>
      <c r="AU242" s="168"/>
      <c r="AV242" s="127" t="s">
        <v>20</v>
      </c>
      <c r="AW242" s="15" t="s">
        <v>543</v>
      </c>
      <c r="AX242" s="268">
        <v>45648</v>
      </c>
      <c r="AY242" s="268">
        <v>45648</v>
      </c>
      <c r="AZ242" s="172" t="s">
        <v>538</v>
      </c>
      <c r="BA242" s="173"/>
      <c r="BB242" s="127" t="s">
        <v>20</v>
      </c>
      <c r="BC242" s="121"/>
      <c r="BD242" s="121" t="s">
        <v>21</v>
      </c>
      <c r="BE242" s="269">
        <f>BF242-2</f>
        <v>45710</v>
      </c>
      <c r="BF242" s="269">
        <v>45712</v>
      </c>
      <c r="BG242" s="15" t="s">
        <v>505</v>
      </c>
      <c r="BH242" s="167"/>
      <c r="BI242" s="127" t="s">
        <v>20</v>
      </c>
      <c r="BJ242" s="121">
        <v>45741</v>
      </c>
      <c r="BK242" s="121">
        <f>BJ242</f>
        <v>45741</v>
      </c>
      <c r="BL242" s="25">
        <v>1330</v>
      </c>
      <c r="BM242" s="24" t="s">
        <v>540</v>
      </c>
    </row>
    <row r="243" spans="1:65" ht="14.25" customHeight="1">
      <c r="A243" s="15" t="s">
        <v>0</v>
      </c>
      <c r="B243" s="19"/>
      <c r="C243" s="169"/>
      <c r="D243" s="120"/>
      <c r="E243" s="120"/>
      <c r="F243" s="120"/>
      <c r="G243" s="120"/>
      <c r="H243" s="170"/>
      <c r="I243" s="19"/>
      <c r="J243" s="19"/>
      <c r="K243" s="171"/>
      <c r="L243" s="163"/>
      <c r="M243" s="15"/>
      <c r="N243" s="15"/>
      <c r="O243" s="15"/>
      <c r="P243" s="165"/>
      <c r="Q243" s="163"/>
      <c r="R243" s="15"/>
      <c r="S243" s="165"/>
      <c r="T243" s="166"/>
      <c r="U243" s="166"/>
      <c r="V243" s="16">
        <v>337</v>
      </c>
      <c r="W243" s="15" t="s">
        <v>585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67"/>
      <c r="AM243" s="15"/>
      <c r="AN243" s="24"/>
      <c r="AO243" s="24"/>
      <c r="AP243" s="24"/>
      <c r="AQ243" s="24"/>
      <c r="AR243" s="24"/>
      <c r="AS243" s="25"/>
      <c r="AT243" s="25"/>
      <c r="AU243" s="168"/>
      <c r="AV243" s="15"/>
      <c r="AW243" s="24"/>
      <c r="AX243" s="268"/>
      <c r="AY243" s="268"/>
      <c r="AZ243" s="24"/>
      <c r="BA243" s="168"/>
      <c r="BB243" s="24"/>
      <c r="BC243" s="24"/>
      <c r="BD243" s="24"/>
      <c r="BE243" s="17"/>
      <c r="BF243" s="24"/>
      <c r="BG243" s="24"/>
      <c r="BH243" s="16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69" t="s">
        <v>37</v>
      </c>
      <c r="D244" s="120">
        <v>6.992</v>
      </c>
      <c r="E244" s="120">
        <f>D244*4</f>
        <v>27.968</v>
      </c>
      <c r="F244" s="120">
        <f>E244*8</f>
        <v>223.744</v>
      </c>
      <c r="G244" s="120"/>
      <c r="H244" s="170"/>
      <c r="I244" s="19"/>
      <c r="J244" s="19"/>
      <c r="K244" s="171"/>
      <c r="L244" s="163">
        <v>2.6070000000000002</v>
      </c>
      <c r="M244" s="15">
        <v>2.657</v>
      </c>
      <c r="N244" s="15">
        <v>2E-3</v>
      </c>
      <c r="O244" s="15">
        <v>0.21299999999999999</v>
      </c>
      <c r="P244" s="165">
        <f t="shared" si="80"/>
        <v>5.4790000000000001</v>
      </c>
      <c r="Q244" s="163">
        <v>0.24399999999999999</v>
      </c>
      <c r="R244" s="15">
        <v>5.0000000000000001E-3</v>
      </c>
      <c r="S244" s="165">
        <f t="shared" si="81"/>
        <v>0.249</v>
      </c>
      <c r="T244" s="166" t="s">
        <v>31</v>
      </c>
      <c r="U244" s="166" t="s">
        <v>535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67"/>
      <c r="AM244" s="127" t="s">
        <v>20</v>
      </c>
      <c r="AN244" s="121" t="str">
        <f>AO244</f>
        <v>D</v>
      </c>
      <c r="AO244" s="121" t="s">
        <v>21</v>
      </c>
      <c r="AP244" s="338">
        <v>45572</v>
      </c>
      <c r="AQ244" s="338">
        <v>45574</v>
      </c>
      <c r="AR244" s="338">
        <v>45577</v>
      </c>
      <c r="AS244" s="507">
        <v>45581</v>
      </c>
      <c r="AT244" s="25" t="s">
        <v>538</v>
      </c>
      <c r="AU244" s="168"/>
      <c r="AV244" s="127" t="s">
        <v>20</v>
      </c>
      <c r="AW244" s="15" t="s">
        <v>6</v>
      </c>
      <c r="AX244" s="268">
        <v>45708</v>
      </c>
      <c r="AY244" s="268">
        <v>45708</v>
      </c>
      <c r="AZ244" s="24" t="s">
        <v>538</v>
      </c>
      <c r="BA244" s="168"/>
      <c r="BB244" s="127" t="s">
        <v>20</v>
      </c>
      <c r="BC244" s="121"/>
      <c r="BD244" s="121" t="s">
        <v>21</v>
      </c>
      <c r="BE244" s="269">
        <f>BF244-1</f>
        <v>45706</v>
      </c>
      <c r="BF244" s="269">
        <v>45707</v>
      </c>
      <c r="BG244" s="15" t="s">
        <v>505</v>
      </c>
      <c r="BH244" s="167"/>
      <c r="BI244" s="127" t="s">
        <v>20</v>
      </c>
      <c r="BJ244" s="121">
        <v>45741</v>
      </c>
      <c r="BK244" s="121">
        <f>BJ244</f>
        <v>45741</v>
      </c>
      <c r="BL244" s="25">
        <v>1330</v>
      </c>
      <c r="BM244" s="24" t="s">
        <v>586</v>
      </c>
    </row>
    <row r="245" spans="1:65" ht="14.25" customHeight="1">
      <c r="A245" s="15" t="s">
        <v>0</v>
      </c>
      <c r="B245" s="19"/>
      <c r="C245" s="169"/>
      <c r="D245" s="120"/>
      <c r="E245" s="120"/>
      <c r="F245" s="120"/>
      <c r="G245" s="120"/>
      <c r="H245" s="170"/>
      <c r="I245" s="19"/>
      <c r="J245" s="19"/>
      <c r="K245" s="171"/>
      <c r="L245" s="163"/>
      <c r="M245" s="15"/>
      <c r="N245" s="15"/>
      <c r="O245" s="15"/>
      <c r="P245" s="165"/>
      <c r="Q245" s="163"/>
      <c r="R245" s="15"/>
      <c r="S245" s="165"/>
      <c r="T245" s="166"/>
      <c r="U245" s="166"/>
      <c r="V245" s="16">
        <v>328.65</v>
      </c>
      <c r="W245" s="15" t="s">
        <v>536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67"/>
      <c r="AM245" s="15"/>
      <c r="AN245" s="24"/>
      <c r="AO245" s="24"/>
      <c r="AP245" s="24"/>
      <c r="AQ245" s="24"/>
      <c r="AR245" s="24"/>
      <c r="AS245" s="25"/>
      <c r="AT245" s="25"/>
      <c r="AU245" s="168"/>
      <c r="AV245" s="15"/>
      <c r="AW245" s="24"/>
      <c r="AX245" s="268"/>
      <c r="AY245" s="268"/>
      <c r="AZ245" s="24"/>
      <c r="BA245" s="168"/>
      <c r="BB245" s="24"/>
      <c r="BC245" s="24"/>
      <c r="BD245" s="24"/>
      <c r="BE245" s="24"/>
      <c r="BF245" s="24"/>
      <c r="BG245" s="24"/>
      <c r="BH245" s="16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69" t="s">
        <v>46</v>
      </c>
      <c r="D246" s="120">
        <v>8.6259999999999994</v>
      </c>
      <c r="E246" s="120">
        <f>D246*4</f>
        <v>34.503999999999998</v>
      </c>
      <c r="F246" s="120">
        <f>E246*8</f>
        <v>276.03199999999998</v>
      </c>
      <c r="G246" s="120"/>
      <c r="H246" s="170"/>
      <c r="I246" s="19"/>
      <c r="J246" s="19"/>
      <c r="K246" s="171"/>
      <c r="L246" s="16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65">
        <f t="shared" si="80"/>
        <v>8.2024000000000008</v>
      </c>
      <c r="Q246" s="163">
        <v>0.436</v>
      </c>
      <c r="R246" s="15">
        <v>0.01</v>
      </c>
      <c r="S246" s="165">
        <f t="shared" si="81"/>
        <v>0.44600000000000001</v>
      </c>
      <c r="T246" s="166" t="s">
        <v>195</v>
      </c>
      <c r="U246" s="166" t="s">
        <v>535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67"/>
      <c r="AM246" s="127" t="s">
        <v>20</v>
      </c>
      <c r="AN246" s="121" t="str">
        <f>AO246</f>
        <v>D</v>
      </c>
      <c r="AO246" s="121" t="s">
        <v>21</v>
      </c>
      <c r="AP246" s="338">
        <v>45584</v>
      </c>
      <c r="AQ246" s="338">
        <v>45592</v>
      </c>
      <c r="AR246" s="338">
        <v>45594</v>
      </c>
      <c r="AS246" s="507">
        <v>45596</v>
      </c>
      <c r="AT246" s="15" t="s">
        <v>560</v>
      </c>
      <c r="AU246" s="184"/>
      <c r="AV246" s="127" t="s">
        <v>20</v>
      </c>
      <c r="AW246" s="15" t="s">
        <v>6</v>
      </c>
      <c r="AX246" s="268">
        <f>AY246</f>
        <v>45693</v>
      </c>
      <c r="AY246" s="268">
        <v>45693</v>
      </c>
      <c r="AZ246" s="172" t="s">
        <v>538</v>
      </c>
      <c r="BA246" s="173"/>
      <c r="BB246" s="127" t="s">
        <v>20</v>
      </c>
      <c r="BC246" s="121"/>
      <c r="BD246" s="121" t="s">
        <v>21</v>
      </c>
      <c r="BE246" s="269">
        <f>BF246-2</f>
        <v>45695</v>
      </c>
      <c r="BF246" s="269">
        <v>45697</v>
      </c>
      <c r="BG246" s="17" t="s">
        <v>587</v>
      </c>
      <c r="BH246" s="178"/>
      <c r="BI246" s="127" t="s">
        <v>20</v>
      </c>
      <c r="BJ246" s="121">
        <v>45776</v>
      </c>
      <c r="BK246" s="121">
        <v>45776</v>
      </c>
      <c r="BL246" s="25">
        <v>1433</v>
      </c>
      <c r="BM246" s="175" t="s">
        <v>586</v>
      </c>
    </row>
    <row r="247" spans="1:65" ht="14.25" customHeight="1">
      <c r="A247" s="15" t="s">
        <v>0</v>
      </c>
      <c r="B247" s="19"/>
      <c r="C247" s="169"/>
      <c r="D247" s="120"/>
      <c r="E247" s="120"/>
      <c r="F247" s="120"/>
      <c r="G247" s="120"/>
      <c r="H247" s="170"/>
      <c r="I247" s="19"/>
      <c r="J247" s="19"/>
      <c r="K247" s="171"/>
      <c r="L247" s="163"/>
      <c r="M247" s="15"/>
      <c r="N247" s="15"/>
      <c r="O247" s="15"/>
      <c r="P247" s="165"/>
      <c r="Q247" s="163"/>
      <c r="R247" s="15"/>
      <c r="S247" s="165"/>
      <c r="T247" s="166"/>
      <c r="U247" s="166"/>
      <c r="V247" s="16">
        <v>362</v>
      </c>
      <c r="W247" s="15" t="s">
        <v>536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67"/>
      <c r="AM247" s="15"/>
      <c r="AN247" s="24"/>
      <c r="AO247" s="24"/>
      <c r="AP247" s="24"/>
      <c r="AQ247" s="24"/>
      <c r="AR247" s="24"/>
      <c r="AS247" s="25"/>
      <c r="AT247" s="25"/>
      <c r="AU247" s="168"/>
      <c r="AV247" s="15"/>
      <c r="AW247" s="24"/>
      <c r="AX247" s="268"/>
      <c r="AY247" s="268"/>
      <c r="AZ247" s="24"/>
      <c r="BA247" s="168"/>
      <c r="BB247" s="24"/>
      <c r="BC247" s="24"/>
      <c r="BD247" s="24"/>
      <c r="BE247" s="24"/>
      <c r="BF247" s="24"/>
      <c r="BG247" s="24"/>
      <c r="BH247" s="16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69" t="s">
        <v>56</v>
      </c>
      <c r="D248" s="120">
        <v>7.6219999999999999</v>
      </c>
      <c r="E248" s="120">
        <f>D248*4</f>
        <v>30.488</v>
      </c>
      <c r="F248" s="120">
        <f>E248*8</f>
        <v>243.904</v>
      </c>
      <c r="G248" s="120"/>
      <c r="H248" s="170"/>
      <c r="I248" s="19"/>
      <c r="J248" s="19"/>
      <c r="K248" s="171"/>
      <c r="L248" s="163">
        <v>2.6789999999999998</v>
      </c>
      <c r="M248" s="15">
        <v>3.133</v>
      </c>
      <c r="N248" s="15">
        <v>2.5000000000000001E-3</v>
      </c>
      <c r="O248" s="15">
        <v>0.23299999999999998</v>
      </c>
      <c r="P248" s="165">
        <f t="shared" si="80"/>
        <v>6.0474999999999994</v>
      </c>
      <c r="Q248" s="163">
        <v>0.24399999999999999</v>
      </c>
      <c r="R248" s="15">
        <v>5.0000000000000001E-3</v>
      </c>
      <c r="S248" s="165">
        <f t="shared" si="81"/>
        <v>0.249</v>
      </c>
      <c r="T248" s="166" t="s">
        <v>31</v>
      </c>
      <c r="U248" s="166" t="s">
        <v>535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67"/>
      <c r="AM248" s="127" t="s">
        <v>20</v>
      </c>
      <c r="AN248" s="121" t="str">
        <f>AO248</f>
        <v>D</v>
      </c>
      <c r="AO248" s="121" t="s">
        <v>21</v>
      </c>
      <c r="AP248" s="338">
        <v>45576</v>
      </c>
      <c r="AQ248" s="338">
        <v>45584</v>
      </c>
      <c r="AR248" s="338">
        <v>45588</v>
      </c>
      <c r="AS248" s="507">
        <v>45589</v>
      </c>
      <c r="AT248" s="15" t="s">
        <v>560</v>
      </c>
      <c r="AU248" s="184"/>
      <c r="AV248" s="127" t="s">
        <v>20</v>
      </c>
      <c r="AW248" s="15" t="s">
        <v>6</v>
      </c>
      <c r="AX248" s="268">
        <f>AY248</f>
        <v>45693</v>
      </c>
      <c r="AY248" s="268">
        <v>45693</v>
      </c>
      <c r="AZ248" s="172" t="s">
        <v>538</v>
      </c>
      <c r="BA248" s="173"/>
      <c r="BB248" s="127" t="s">
        <v>20</v>
      </c>
      <c r="BC248" s="121"/>
      <c r="BD248" s="121" t="s">
        <v>21</v>
      </c>
      <c r="BE248" s="269">
        <f>BF248-2</f>
        <v>45706</v>
      </c>
      <c r="BF248" s="269">
        <v>45708</v>
      </c>
      <c r="BG248" s="15" t="s">
        <v>505</v>
      </c>
      <c r="BH248" s="179"/>
      <c r="BI248" s="127" t="s">
        <v>20</v>
      </c>
      <c r="BJ248" s="121">
        <v>45776</v>
      </c>
      <c r="BK248" s="121">
        <v>45776</v>
      </c>
      <c r="BL248" s="25">
        <v>1545</v>
      </c>
      <c r="BM248" s="24" t="s">
        <v>586</v>
      </c>
    </row>
    <row r="249" spans="1:65" ht="14.25" customHeight="1">
      <c r="A249" s="15" t="s">
        <v>0</v>
      </c>
      <c r="B249" s="19"/>
      <c r="C249" s="169"/>
      <c r="D249" s="120"/>
      <c r="E249" s="120"/>
      <c r="F249" s="120"/>
      <c r="G249" s="120"/>
      <c r="H249" s="170"/>
      <c r="I249" s="19"/>
      <c r="J249" s="19"/>
      <c r="K249" s="171"/>
      <c r="L249" s="163"/>
      <c r="M249" s="15"/>
      <c r="N249" s="15"/>
      <c r="O249" s="15"/>
      <c r="P249" s="165"/>
      <c r="Q249" s="163"/>
      <c r="R249" s="15"/>
      <c r="S249" s="165"/>
      <c r="T249" s="166"/>
      <c r="U249" s="166"/>
      <c r="V249" s="16">
        <v>364</v>
      </c>
      <c r="W249" s="15" t="s">
        <v>499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67"/>
      <c r="AM249" s="15"/>
      <c r="AN249" s="24"/>
      <c r="AO249" s="24"/>
      <c r="AP249" s="24"/>
      <c r="AQ249" s="24"/>
      <c r="AR249" s="24"/>
      <c r="AS249" s="25"/>
      <c r="AT249" s="25"/>
      <c r="AU249" s="168"/>
      <c r="AV249" s="15"/>
      <c r="AW249" s="24"/>
      <c r="AX249" s="268"/>
      <c r="AY249" s="268"/>
      <c r="AZ249" s="24"/>
      <c r="BA249" s="168"/>
      <c r="BB249" s="24"/>
      <c r="BC249" s="24"/>
      <c r="BD249" s="24"/>
      <c r="BE249" s="24"/>
      <c r="BF249" s="24"/>
      <c r="BG249" s="24"/>
      <c r="BH249" s="16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69" t="s">
        <v>37</v>
      </c>
      <c r="D250" s="120">
        <v>6.992</v>
      </c>
      <c r="E250" s="120">
        <f>D250*4</f>
        <v>27.968</v>
      </c>
      <c r="F250" s="120">
        <f>E250*8</f>
        <v>223.744</v>
      </c>
      <c r="G250" s="120"/>
      <c r="H250" s="170"/>
      <c r="I250" s="19"/>
      <c r="J250" s="19"/>
      <c r="K250" s="171"/>
      <c r="L250" s="163">
        <v>2.6070000000000002</v>
      </c>
      <c r="M250" s="15">
        <v>2.657</v>
      </c>
      <c r="N250" s="15">
        <v>2E-3</v>
      </c>
      <c r="O250" s="15">
        <v>0.21299999999999999</v>
      </c>
      <c r="P250" s="165">
        <f t="shared" si="80"/>
        <v>5.4790000000000001</v>
      </c>
      <c r="Q250" s="163">
        <v>0.24399999999999999</v>
      </c>
      <c r="R250" s="15">
        <v>5.0000000000000001E-3</v>
      </c>
      <c r="S250" s="165">
        <f t="shared" si="81"/>
        <v>0.249</v>
      </c>
      <c r="T250" s="166" t="s">
        <v>31</v>
      </c>
      <c r="U250" s="166" t="s">
        <v>535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67"/>
      <c r="AM250" s="127" t="s">
        <v>20</v>
      </c>
      <c r="AN250" s="121" t="str">
        <f>AO250</f>
        <v>D</v>
      </c>
      <c r="AO250" s="121" t="s">
        <v>21</v>
      </c>
      <c r="AP250" s="338">
        <v>45572</v>
      </c>
      <c r="AQ250" s="338">
        <v>45573</v>
      </c>
      <c r="AR250" s="338">
        <v>45575</v>
      </c>
      <c r="AS250" s="507">
        <v>45576</v>
      </c>
      <c r="AT250" s="15" t="s">
        <v>560</v>
      </c>
      <c r="AU250" s="184"/>
      <c r="AV250" s="127" t="s">
        <v>20</v>
      </c>
      <c r="AW250" s="15" t="s">
        <v>6</v>
      </c>
      <c r="AX250" s="268">
        <v>45657</v>
      </c>
      <c r="AY250" s="268">
        <v>45657</v>
      </c>
      <c r="AZ250" s="172" t="s">
        <v>538</v>
      </c>
      <c r="BA250" s="173"/>
      <c r="BB250" s="127" t="s">
        <v>20</v>
      </c>
      <c r="BC250" s="121"/>
      <c r="BD250" s="121" t="s">
        <v>21</v>
      </c>
      <c r="BE250" s="269">
        <f>BF250-2</f>
        <v>45689</v>
      </c>
      <c r="BF250" s="269">
        <v>45691</v>
      </c>
      <c r="BG250" s="17" t="s">
        <v>587</v>
      </c>
      <c r="BH250" s="177"/>
      <c r="BI250" s="127" t="s">
        <v>20</v>
      </c>
      <c r="BJ250" s="17">
        <v>45777</v>
      </c>
      <c r="BK250" s="17">
        <v>45777</v>
      </c>
      <c r="BL250" s="25">
        <v>1330</v>
      </c>
      <c r="BM250" s="24" t="s">
        <v>586</v>
      </c>
    </row>
    <row r="251" spans="1:65" ht="14.25" customHeight="1">
      <c r="A251" s="15" t="s">
        <v>0</v>
      </c>
      <c r="B251" s="19"/>
      <c r="C251" s="169"/>
      <c r="D251" s="120"/>
      <c r="E251" s="120"/>
      <c r="F251" s="120"/>
      <c r="G251" s="120"/>
      <c r="H251" s="170"/>
      <c r="I251" s="19"/>
      <c r="J251" s="19"/>
      <c r="K251" s="171"/>
      <c r="L251" s="163"/>
      <c r="M251" s="15"/>
      <c r="N251" s="15"/>
      <c r="O251" s="15"/>
      <c r="P251" s="165"/>
      <c r="Q251" s="163"/>
      <c r="R251" s="15"/>
      <c r="S251" s="165"/>
      <c r="T251" s="166"/>
      <c r="U251" s="166"/>
      <c r="V251" s="16">
        <v>388</v>
      </c>
      <c r="W251" s="15" t="s">
        <v>499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67"/>
      <c r="AM251" s="15"/>
      <c r="AN251" s="24"/>
      <c r="AO251" s="24"/>
      <c r="AP251" s="24"/>
      <c r="AQ251" s="24"/>
      <c r="AR251" s="24"/>
      <c r="AS251" s="25"/>
      <c r="AT251" s="25"/>
      <c r="AU251" s="168"/>
      <c r="AV251" s="15"/>
      <c r="AW251" s="24"/>
      <c r="AX251" s="268"/>
      <c r="AY251" s="268"/>
      <c r="AZ251" s="24"/>
      <c r="BA251" s="168"/>
      <c r="BB251" s="24"/>
      <c r="BC251" s="24"/>
      <c r="BD251" s="24"/>
      <c r="BE251" s="24"/>
      <c r="BF251" s="24"/>
      <c r="BG251" s="24"/>
      <c r="BH251" s="16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69" t="s">
        <v>56</v>
      </c>
      <c r="D252" s="120">
        <v>7.6219999999999999</v>
      </c>
      <c r="E252" s="120">
        <f>D252*4</f>
        <v>30.488</v>
      </c>
      <c r="F252" s="120">
        <f>E252*8</f>
        <v>243.904</v>
      </c>
      <c r="G252" s="120"/>
      <c r="H252" s="170"/>
      <c r="I252" s="19"/>
      <c r="J252" s="19"/>
      <c r="K252" s="171"/>
      <c r="L252" s="163">
        <v>2.6789999999999998</v>
      </c>
      <c r="M252" s="15">
        <v>3.133</v>
      </c>
      <c r="N252" s="15">
        <v>2.5000000000000001E-3</v>
      </c>
      <c r="O252" s="15">
        <v>0.23299999999999998</v>
      </c>
      <c r="P252" s="165">
        <f t="shared" si="80"/>
        <v>6.0474999999999994</v>
      </c>
      <c r="Q252" s="163">
        <v>0.24399999999999999</v>
      </c>
      <c r="R252" s="15">
        <v>5.0000000000000001E-3</v>
      </c>
      <c r="S252" s="165">
        <f t="shared" si="81"/>
        <v>0.249</v>
      </c>
      <c r="T252" s="166" t="s">
        <v>31</v>
      </c>
      <c r="U252" s="166" t="s">
        <v>535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67"/>
      <c r="AM252" s="127" t="s">
        <v>20</v>
      </c>
      <c r="AN252" s="121" t="str">
        <f>AO252</f>
        <v>D</v>
      </c>
      <c r="AO252" s="121" t="s">
        <v>21</v>
      </c>
      <c r="AP252" s="338">
        <v>45595</v>
      </c>
      <c r="AQ252" s="338">
        <v>45566</v>
      </c>
      <c r="AR252" s="338">
        <v>45567</v>
      </c>
      <c r="AS252" s="507">
        <v>45571</v>
      </c>
      <c r="AT252" s="15" t="s">
        <v>560</v>
      </c>
      <c r="AU252" s="184"/>
      <c r="AV252" s="127" t="s">
        <v>20</v>
      </c>
      <c r="AW252" s="15" t="s">
        <v>543</v>
      </c>
      <c r="AX252" s="268">
        <v>45657</v>
      </c>
      <c r="AY252" s="268">
        <v>45657</v>
      </c>
      <c r="AZ252" s="172" t="s">
        <v>538</v>
      </c>
      <c r="BA252" s="173"/>
      <c r="BB252" s="127" t="s">
        <v>20</v>
      </c>
      <c r="BC252" s="121"/>
      <c r="BD252" s="121" t="s">
        <v>21</v>
      </c>
      <c r="BE252" s="269">
        <f>BF252-2</f>
        <v>45686</v>
      </c>
      <c r="BF252" s="269">
        <v>45688</v>
      </c>
      <c r="BG252" s="17" t="s">
        <v>587</v>
      </c>
      <c r="BH252" s="177"/>
      <c r="BI252" s="127" t="s">
        <v>20</v>
      </c>
      <c r="BJ252" s="17">
        <v>45777</v>
      </c>
      <c r="BK252" s="17">
        <v>45777</v>
      </c>
      <c r="BL252" s="25">
        <v>1545</v>
      </c>
      <c r="BM252" s="24" t="s">
        <v>586</v>
      </c>
    </row>
    <row r="253" spans="1:65" ht="14.25" customHeight="1">
      <c r="A253" s="15" t="s">
        <v>0</v>
      </c>
      <c r="B253" s="19"/>
      <c r="C253" s="169"/>
      <c r="D253" s="120"/>
      <c r="E253" s="120"/>
      <c r="F253" s="120"/>
      <c r="G253" s="120"/>
      <c r="H253" s="170"/>
      <c r="I253" s="19"/>
      <c r="J253" s="19"/>
      <c r="K253" s="171"/>
      <c r="L253" s="163"/>
      <c r="M253" s="15"/>
      <c r="N253" s="15"/>
      <c r="O253" s="15"/>
      <c r="P253" s="165"/>
      <c r="Q253" s="163"/>
      <c r="R253" s="15"/>
      <c r="S253" s="165"/>
      <c r="T253" s="166"/>
      <c r="U253" s="166"/>
      <c r="V253" s="16">
        <v>321.97000000000003</v>
      </c>
      <c r="W253" s="15" t="s">
        <v>585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67"/>
      <c r="AM253" s="15"/>
      <c r="AN253" s="24"/>
      <c r="AO253" s="24"/>
      <c r="AP253" s="24"/>
      <c r="AQ253" s="24"/>
      <c r="AR253" s="24"/>
      <c r="AS253" s="25"/>
      <c r="AT253" s="25"/>
      <c r="AU253" s="168"/>
      <c r="AV253" s="15"/>
      <c r="AW253" s="24"/>
      <c r="AX253" s="268"/>
      <c r="AY253" s="268"/>
      <c r="AZ253" s="24"/>
      <c r="BA253" s="168"/>
      <c r="BB253" s="24"/>
      <c r="BC253" s="24"/>
      <c r="BD253" s="24"/>
      <c r="BE253" s="24"/>
      <c r="BF253" s="24"/>
      <c r="BG253" s="24"/>
      <c r="BH253" s="16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69" t="s">
        <v>39</v>
      </c>
      <c r="D254" s="120">
        <v>7.7080000000000002</v>
      </c>
      <c r="E254" s="120">
        <f>D254*4</f>
        <v>30.832000000000001</v>
      </c>
      <c r="F254" s="120">
        <f>E254*8</f>
        <v>246.65600000000001</v>
      </c>
      <c r="G254" s="120"/>
      <c r="H254" s="170"/>
      <c r="I254" s="19"/>
      <c r="J254" s="19"/>
      <c r="K254" s="171"/>
      <c r="L254" s="163">
        <v>4.0570000000000004</v>
      </c>
      <c r="M254" s="15">
        <v>2.48</v>
      </c>
      <c r="N254" s="15">
        <v>6.0000000000000001E-3</v>
      </c>
      <c r="O254" s="15">
        <v>0.36499999999999999</v>
      </c>
      <c r="P254" s="165">
        <f t="shared" si="80"/>
        <v>6.9080000000000013</v>
      </c>
      <c r="Q254" s="163">
        <v>0.436</v>
      </c>
      <c r="R254" s="15">
        <v>0.01</v>
      </c>
      <c r="S254" s="165">
        <f t="shared" si="81"/>
        <v>0.44600000000000001</v>
      </c>
      <c r="T254" s="166" t="s">
        <v>200</v>
      </c>
      <c r="U254" s="166" t="s">
        <v>535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67"/>
      <c r="AM254" s="127" t="s">
        <v>20</v>
      </c>
      <c r="AN254" s="121" t="str">
        <f>AO254</f>
        <v>D</v>
      </c>
      <c r="AO254" s="121" t="s">
        <v>21</v>
      </c>
      <c r="AP254" s="338">
        <v>45577</v>
      </c>
      <c r="AQ254" s="338">
        <v>45579</v>
      </c>
      <c r="AR254" s="338">
        <v>45583</v>
      </c>
      <c r="AS254" s="507">
        <v>45586</v>
      </c>
      <c r="AT254" s="15" t="s">
        <v>560</v>
      </c>
      <c r="AU254" s="184"/>
      <c r="AV254" s="127" t="s">
        <v>20</v>
      </c>
      <c r="AW254" s="15" t="s">
        <v>6</v>
      </c>
      <c r="AX254" s="268">
        <v>45657</v>
      </c>
      <c r="AY254" s="268">
        <v>45657</v>
      </c>
      <c r="AZ254" s="172" t="s">
        <v>538</v>
      </c>
      <c r="BA254" s="173"/>
      <c r="BB254" s="127" t="s">
        <v>20</v>
      </c>
      <c r="BC254" s="121"/>
      <c r="BD254" s="121" t="s">
        <v>21</v>
      </c>
      <c r="BE254" s="269">
        <f>BF254-2</f>
        <v>45709</v>
      </c>
      <c r="BF254" s="269">
        <v>45711</v>
      </c>
      <c r="BG254" s="17" t="s">
        <v>505</v>
      </c>
      <c r="BH254" s="178"/>
      <c r="BI254" s="127" t="s">
        <v>20</v>
      </c>
      <c r="BJ254" s="121">
        <v>45742</v>
      </c>
      <c r="BK254" s="121">
        <v>45742</v>
      </c>
      <c r="BL254" s="25">
        <v>1001</v>
      </c>
      <c r="BM254" s="175" t="s">
        <v>586</v>
      </c>
    </row>
    <row r="255" spans="1:65" ht="14.25" customHeight="1">
      <c r="A255" s="15" t="s">
        <v>0</v>
      </c>
      <c r="B255" s="19"/>
      <c r="C255" s="169"/>
      <c r="D255" s="120"/>
      <c r="E255" s="120"/>
      <c r="F255" s="120"/>
      <c r="G255" s="120"/>
      <c r="H255" s="170"/>
      <c r="I255" s="19"/>
      <c r="J255" s="19"/>
      <c r="K255" s="171"/>
      <c r="L255" s="163"/>
      <c r="M255" s="15"/>
      <c r="N255" s="15"/>
      <c r="O255" s="15"/>
      <c r="P255" s="165"/>
      <c r="Q255" s="163"/>
      <c r="R255" s="15"/>
      <c r="S255" s="165"/>
      <c r="T255" s="188"/>
      <c r="U255" s="188"/>
      <c r="V255" s="190">
        <v>365.48399999999998</v>
      </c>
      <c r="W255" s="15" t="s">
        <v>499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67"/>
      <c r="AM255" s="15"/>
      <c r="AN255" s="24"/>
      <c r="AO255" s="24"/>
      <c r="AP255" s="24"/>
      <c r="AQ255" s="24"/>
      <c r="AR255" s="24"/>
      <c r="AS255" s="25"/>
      <c r="AT255" s="25"/>
      <c r="AU255" s="168"/>
      <c r="AV255" s="15"/>
      <c r="AW255" s="24"/>
      <c r="AX255" s="268"/>
      <c r="AY255" s="268"/>
      <c r="AZ255" s="24"/>
      <c r="BA255" s="168"/>
      <c r="BB255" s="24"/>
      <c r="BC255" s="24"/>
      <c r="BD255" s="24"/>
      <c r="BE255" s="24"/>
      <c r="BF255" s="24"/>
      <c r="BG255" s="24"/>
      <c r="BH255" s="16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69" t="s">
        <v>42</v>
      </c>
      <c r="D256" s="120">
        <v>6.3620000000000001</v>
      </c>
      <c r="E256" s="120">
        <f>D256*4</f>
        <v>25.448</v>
      </c>
      <c r="F256" s="120">
        <f>E256*8</f>
        <v>203.584</v>
      </c>
      <c r="G256" s="120"/>
      <c r="H256" s="170"/>
      <c r="I256" s="19"/>
      <c r="J256" s="19"/>
      <c r="K256" s="171"/>
      <c r="L256" s="163">
        <v>2.25</v>
      </c>
      <c r="M256" s="15">
        <v>2.1880000000000002</v>
      </c>
      <c r="N256" s="15">
        <v>2E-3</v>
      </c>
      <c r="O256" s="15">
        <v>0.183</v>
      </c>
      <c r="P256" s="165">
        <f t="shared" si="80"/>
        <v>4.6230000000000002</v>
      </c>
      <c r="Q256" s="163">
        <v>0.24399999999999999</v>
      </c>
      <c r="R256" s="15">
        <v>5.0000000000000001E-3</v>
      </c>
      <c r="S256" s="165">
        <f t="shared" si="81"/>
        <v>0.249</v>
      </c>
      <c r="T256" s="188"/>
      <c r="U256" s="166" t="s">
        <v>535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67"/>
      <c r="AM256" s="127" t="s">
        <v>20</v>
      </c>
      <c r="AN256" s="121" t="str">
        <f>AO256</f>
        <v>D</v>
      </c>
      <c r="AO256" s="121" t="s">
        <v>21</v>
      </c>
      <c r="AP256" s="338">
        <v>45605</v>
      </c>
      <c r="AQ256" s="338">
        <f>AR256-4</f>
        <v>45618</v>
      </c>
      <c r="AR256" s="338">
        <f>AS256-3</f>
        <v>45622</v>
      </c>
      <c r="AS256" s="507">
        <v>45625</v>
      </c>
      <c r="AT256" s="25" t="s">
        <v>588</v>
      </c>
      <c r="AU256" s="173"/>
      <c r="AV256" s="127" t="s">
        <v>20</v>
      </c>
      <c r="AW256" s="15" t="s">
        <v>543</v>
      </c>
      <c r="AX256" s="268">
        <v>45657</v>
      </c>
      <c r="AY256" s="268">
        <v>45657</v>
      </c>
      <c r="AZ256" s="172" t="s">
        <v>538</v>
      </c>
      <c r="BA256" s="173"/>
      <c r="BB256" s="127" t="s">
        <v>20</v>
      </c>
      <c r="BC256" s="121"/>
      <c r="BD256" s="121" t="s">
        <v>21</v>
      </c>
      <c r="BE256" s="269">
        <v>45656</v>
      </c>
      <c r="BF256" s="269">
        <v>45657</v>
      </c>
      <c r="BG256" s="17" t="s">
        <v>505</v>
      </c>
      <c r="BH256" s="178"/>
      <c r="BI256" s="127" t="s">
        <v>20</v>
      </c>
      <c r="BJ256" s="121">
        <v>45742</v>
      </c>
      <c r="BK256" s="121">
        <v>45742</v>
      </c>
      <c r="BL256" s="25">
        <v>980</v>
      </c>
      <c r="BM256" s="24" t="s">
        <v>586</v>
      </c>
    </row>
    <row r="257" spans="1:65" ht="14.25" customHeight="1">
      <c r="A257" s="15" t="s">
        <v>0</v>
      </c>
      <c r="B257" s="19"/>
      <c r="C257" s="169"/>
      <c r="D257" s="120"/>
      <c r="E257" s="120"/>
      <c r="F257" s="120"/>
      <c r="G257" s="120"/>
      <c r="H257" s="170"/>
      <c r="I257" s="19"/>
      <c r="J257" s="19"/>
      <c r="K257" s="171"/>
      <c r="L257" s="163"/>
      <c r="M257" s="15"/>
      <c r="N257" s="15"/>
      <c r="O257" s="15"/>
      <c r="P257" s="165"/>
      <c r="Q257" s="163"/>
      <c r="R257" s="15"/>
      <c r="S257" s="165"/>
      <c r="T257" s="188"/>
      <c r="U257" s="188"/>
      <c r="V257" s="25">
        <v>373.96600000000001</v>
      </c>
      <c r="W257" s="15" t="s">
        <v>585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67"/>
      <c r="AM257" s="15"/>
      <c r="AN257" s="24"/>
      <c r="AO257" s="24"/>
      <c r="AP257" s="24"/>
      <c r="AQ257" s="24"/>
      <c r="AR257" s="24"/>
      <c r="AS257" s="25"/>
      <c r="AT257" s="25"/>
      <c r="AU257" s="168"/>
      <c r="AV257" s="15"/>
      <c r="AW257" s="24"/>
      <c r="AX257" s="268"/>
      <c r="AY257" s="268"/>
      <c r="AZ257" s="24"/>
      <c r="BA257" s="168"/>
      <c r="BB257" s="24"/>
      <c r="BC257" s="24"/>
      <c r="BD257" s="24"/>
      <c r="BE257" s="24"/>
      <c r="BF257" s="24"/>
      <c r="BG257" s="24"/>
      <c r="BH257" s="16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69" t="s">
        <v>37</v>
      </c>
      <c r="D258" s="120">
        <v>6.992</v>
      </c>
      <c r="E258" s="120">
        <f>D258*4</f>
        <v>27.968</v>
      </c>
      <c r="F258" s="120">
        <f>E258*8</f>
        <v>223.744</v>
      </c>
      <c r="G258" s="120"/>
      <c r="H258" s="170"/>
      <c r="I258" s="19"/>
      <c r="J258" s="19"/>
      <c r="K258" s="171"/>
      <c r="L258" s="163">
        <v>2.6070000000000002</v>
      </c>
      <c r="M258" s="15">
        <v>2.657</v>
      </c>
      <c r="N258" s="15">
        <v>2E-3</v>
      </c>
      <c r="O258" s="15">
        <v>0.21299999999999999</v>
      </c>
      <c r="P258" s="165">
        <f t="shared" si="80"/>
        <v>5.4790000000000001</v>
      </c>
      <c r="Q258" s="163">
        <v>0.24399999999999999</v>
      </c>
      <c r="R258" s="15">
        <v>5.0000000000000001E-3</v>
      </c>
      <c r="S258" s="165">
        <f t="shared" si="81"/>
        <v>0.249</v>
      </c>
      <c r="T258" s="188"/>
      <c r="U258" s="166" t="s">
        <v>535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67"/>
      <c r="AM258" s="127" t="s">
        <v>20</v>
      </c>
      <c r="AN258" s="121" t="str">
        <f>AO258</f>
        <v>D</v>
      </c>
      <c r="AO258" s="121" t="s">
        <v>21</v>
      </c>
      <c r="AP258" s="338">
        <v>45605</v>
      </c>
      <c r="AQ258" s="338">
        <f t="shared" ref="AQ258:AR258" si="91">AR258-3</f>
        <v>45628</v>
      </c>
      <c r="AR258" s="338">
        <f t="shared" si="91"/>
        <v>45631</v>
      </c>
      <c r="AS258" s="507">
        <v>45634</v>
      </c>
      <c r="AT258" s="25" t="s">
        <v>588</v>
      </c>
      <c r="AU258" s="173"/>
      <c r="AV258" s="127" t="s">
        <v>20</v>
      </c>
      <c r="AW258" s="15" t="s">
        <v>6</v>
      </c>
      <c r="AX258" s="268">
        <v>45635</v>
      </c>
      <c r="AY258" s="268">
        <v>45635</v>
      </c>
      <c r="AZ258" s="19" t="s">
        <v>589</v>
      </c>
      <c r="BA258" s="184"/>
      <c r="BB258" s="127" t="s">
        <v>20</v>
      </c>
      <c r="BC258" s="121"/>
      <c r="BD258" s="121" t="s">
        <v>21</v>
      </c>
      <c r="BE258" s="269">
        <v>45653</v>
      </c>
      <c r="BF258" s="269">
        <v>45655</v>
      </c>
      <c r="BG258" s="17" t="s">
        <v>505</v>
      </c>
      <c r="BH258" s="178"/>
      <c r="BI258" s="127" t="s">
        <v>20</v>
      </c>
      <c r="BJ258" s="121">
        <f>BK258</f>
        <v>45743</v>
      </c>
      <c r="BK258" s="121">
        <v>45743</v>
      </c>
      <c r="BL258" s="25">
        <v>1330</v>
      </c>
      <c r="BM258" s="24" t="s">
        <v>586</v>
      </c>
    </row>
    <row r="259" spans="1:65" ht="14.25" customHeight="1">
      <c r="A259" s="15" t="s">
        <v>0</v>
      </c>
      <c r="B259" s="19"/>
      <c r="C259" s="169"/>
      <c r="D259" s="120"/>
      <c r="E259" s="120"/>
      <c r="F259" s="120"/>
      <c r="G259" s="120"/>
      <c r="H259" s="170"/>
      <c r="I259" s="19"/>
      <c r="J259" s="19"/>
      <c r="K259" s="171"/>
      <c r="L259" s="163"/>
      <c r="M259" s="15"/>
      <c r="N259" s="15"/>
      <c r="O259" s="15"/>
      <c r="P259" s="165"/>
      <c r="Q259" s="163"/>
      <c r="R259" s="15"/>
      <c r="S259" s="165"/>
      <c r="T259" s="188"/>
      <c r="U259" s="188"/>
      <c r="V259" s="25">
        <v>356.05399999999997</v>
      </c>
      <c r="W259" s="15" t="s">
        <v>501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67"/>
      <c r="AM259" s="15"/>
      <c r="AN259" s="24"/>
      <c r="AO259" s="24"/>
      <c r="AP259" s="24"/>
      <c r="AQ259" s="24"/>
      <c r="AR259" s="24"/>
      <c r="AS259" s="25"/>
      <c r="AT259" s="25"/>
      <c r="AU259" s="168"/>
      <c r="AV259" s="15"/>
      <c r="AW259" s="24"/>
      <c r="AX259" s="268"/>
      <c r="AY259" s="268"/>
      <c r="AZ259" s="24"/>
      <c r="BA259" s="168"/>
      <c r="BB259" s="24"/>
      <c r="BC259" s="24"/>
      <c r="BD259" s="24"/>
      <c r="BE259" s="24"/>
      <c r="BF259" s="24"/>
      <c r="BG259" s="24"/>
      <c r="BH259" s="16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69" t="s">
        <v>42</v>
      </c>
      <c r="D260" s="120">
        <v>6.3620000000000001</v>
      </c>
      <c r="E260" s="120">
        <f>D260*4</f>
        <v>25.448</v>
      </c>
      <c r="F260" s="120">
        <f>E260*8</f>
        <v>203.584</v>
      </c>
      <c r="G260" s="120"/>
      <c r="H260" s="170"/>
      <c r="I260" s="19"/>
      <c r="J260" s="19"/>
      <c r="K260" s="171"/>
      <c r="L260" s="163">
        <v>2.25</v>
      </c>
      <c r="M260" s="15">
        <v>2.1880000000000002</v>
      </c>
      <c r="N260" s="15">
        <v>2E-3</v>
      </c>
      <c r="O260" s="15">
        <v>0.183</v>
      </c>
      <c r="P260" s="165">
        <f t="shared" si="80"/>
        <v>4.6230000000000002</v>
      </c>
      <c r="Q260" s="163">
        <v>0.24399999999999999</v>
      </c>
      <c r="R260" s="15">
        <v>5.0000000000000001E-3</v>
      </c>
      <c r="S260" s="165">
        <f t="shared" si="81"/>
        <v>0.249</v>
      </c>
      <c r="T260" s="188"/>
      <c r="U260" s="166" t="s">
        <v>535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67"/>
      <c r="AM260" s="127" t="s">
        <v>20</v>
      </c>
      <c r="AN260" s="121" t="str">
        <f>AO260</f>
        <v>D</v>
      </c>
      <c r="AO260" s="121" t="s">
        <v>21</v>
      </c>
      <c r="AP260" s="338">
        <v>45518</v>
      </c>
      <c r="AQ260" s="338">
        <v>45521</v>
      </c>
      <c r="AR260" s="338">
        <v>45522</v>
      </c>
      <c r="AS260" s="507">
        <v>45523</v>
      </c>
      <c r="AT260" s="25" t="s">
        <v>538</v>
      </c>
      <c r="AU260" s="173"/>
      <c r="AV260" s="127" t="s">
        <v>20</v>
      </c>
      <c r="AW260" s="15" t="s">
        <v>543</v>
      </c>
      <c r="AX260" s="268">
        <f>AY260</f>
        <v>45661</v>
      </c>
      <c r="AY260" s="268">
        <v>45661</v>
      </c>
      <c r="AZ260" s="172" t="s">
        <v>538</v>
      </c>
      <c r="BA260" s="173"/>
      <c r="BB260" s="127" t="s">
        <v>20</v>
      </c>
      <c r="BC260" s="121"/>
      <c r="BD260" s="121" t="s">
        <v>21</v>
      </c>
      <c r="BE260" s="269">
        <f>BF260-1</f>
        <v>45662</v>
      </c>
      <c r="BF260" s="269">
        <v>45663</v>
      </c>
      <c r="BG260" s="17" t="s">
        <v>505</v>
      </c>
      <c r="BH260" s="178"/>
      <c r="BI260" s="127" t="s">
        <v>20</v>
      </c>
      <c r="BJ260" s="121">
        <f>BJ258</f>
        <v>45743</v>
      </c>
      <c r="BK260" s="121">
        <f>BJ260</f>
        <v>45743</v>
      </c>
      <c r="BL260" s="25">
        <v>980</v>
      </c>
      <c r="BM260" s="24" t="s">
        <v>586</v>
      </c>
    </row>
    <row r="261" spans="1:65" ht="14.25" customHeight="1">
      <c r="A261" s="15" t="s">
        <v>0</v>
      </c>
      <c r="B261" s="19"/>
      <c r="C261" s="169"/>
      <c r="D261" s="120"/>
      <c r="E261" s="120"/>
      <c r="F261" s="120"/>
      <c r="G261" s="120"/>
      <c r="H261" s="170"/>
      <c r="I261" s="19"/>
      <c r="J261" s="19"/>
      <c r="K261" s="171"/>
      <c r="L261" s="163"/>
      <c r="M261" s="15"/>
      <c r="N261" s="15"/>
      <c r="O261" s="15"/>
      <c r="P261" s="165"/>
      <c r="Q261" s="163"/>
      <c r="R261" s="15"/>
      <c r="S261" s="165"/>
      <c r="T261" s="188"/>
      <c r="U261" s="188"/>
      <c r="V261" s="25">
        <v>349.66300000000001</v>
      </c>
      <c r="W261" s="15" t="s">
        <v>564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67"/>
      <c r="AM261" s="15"/>
      <c r="AN261" s="24"/>
      <c r="AO261" s="24"/>
      <c r="AP261" s="24"/>
      <c r="AQ261" s="24"/>
      <c r="AR261" s="24"/>
      <c r="AS261" s="25"/>
      <c r="AT261" s="25"/>
      <c r="AU261" s="168"/>
      <c r="AV261" s="15"/>
      <c r="AW261" s="24"/>
      <c r="AX261" s="268"/>
      <c r="AY261" s="268"/>
      <c r="AZ261" s="24"/>
      <c r="BA261" s="168"/>
      <c r="BB261" s="24"/>
      <c r="BC261" s="24"/>
      <c r="BD261" s="24"/>
      <c r="BE261" s="24"/>
      <c r="BF261" s="24"/>
      <c r="BG261" s="24"/>
      <c r="BH261" s="16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69" t="s">
        <v>42</v>
      </c>
      <c r="D262" s="120">
        <v>6.3620000000000001</v>
      </c>
      <c r="E262" s="120">
        <f>D262*4</f>
        <v>25.448</v>
      </c>
      <c r="F262" s="120">
        <f>E262*8</f>
        <v>203.584</v>
      </c>
      <c r="G262" s="120"/>
      <c r="H262" s="170"/>
      <c r="I262" s="19"/>
      <c r="J262" s="19"/>
      <c r="K262" s="171"/>
      <c r="L262" s="163">
        <v>2.25</v>
      </c>
      <c r="M262" s="15">
        <v>2.1880000000000002</v>
      </c>
      <c r="N262" s="15">
        <v>2E-3</v>
      </c>
      <c r="O262" s="15">
        <v>0.183</v>
      </c>
      <c r="P262" s="165">
        <f t="shared" si="80"/>
        <v>4.6230000000000002</v>
      </c>
      <c r="Q262" s="163">
        <v>0.24399999999999999</v>
      </c>
      <c r="R262" s="15">
        <v>5.0000000000000001E-3</v>
      </c>
      <c r="S262" s="165">
        <f t="shared" si="81"/>
        <v>0.249</v>
      </c>
      <c r="T262" s="188"/>
      <c r="U262" s="166" t="s">
        <v>535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67"/>
      <c r="AM262" s="127" t="s">
        <v>20</v>
      </c>
      <c r="AN262" s="121" t="str">
        <f>AO262</f>
        <v>D</v>
      </c>
      <c r="AO262" s="121" t="s">
        <v>21</v>
      </c>
      <c r="AP262" s="338">
        <v>45594</v>
      </c>
      <c r="AQ262" s="338">
        <v>45598</v>
      </c>
      <c r="AR262" s="338">
        <v>45599</v>
      </c>
      <c r="AS262" s="507">
        <v>45600</v>
      </c>
      <c r="AT262" s="15" t="s">
        <v>560</v>
      </c>
      <c r="AU262" s="184"/>
      <c r="AV262" s="127" t="s">
        <v>20</v>
      </c>
      <c r="AW262" s="15" t="s">
        <v>6</v>
      </c>
      <c r="AX262" s="268">
        <f>AY262</f>
        <v>45658</v>
      </c>
      <c r="AY262" s="268">
        <f>BE262-1</f>
        <v>45658</v>
      </c>
      <c r="AZ262" s="172" t="s">
        <v>538</v>
      </c>
      <c r="BA262" s="173"/>
      <c r="BB262" s="127" t="s">
        <v>20</v>
      </c>
      <c r="BC262" s="121"/>
      <c r="BD262" s="121" t="s">
        <v>21</v>
      </c>
      <c r="BE262" s="269">
        <v>45659</v>
      </c>
      <c r="BF262" s="269">
        <v>45660</v>
      </c>
      <c r="BG262" s="17" t="s">
        <v>505</v>
      </c>
      <c r="BH262" s="177"/>
      <c r="BI262" s="127" t="s">
        <v>20</v>
      </c>
      <c r="BJ262" s="121">
        <f>BK262</f>
        <v>45744</v>
      </c>
      <c r="BK262" s="121">
        <v>45744</v>
      </c>
      <c r="BL262" s="25">
        <v>980</v>
      </c>
      <c r="BM262" s="24" t="s">
        <v>586</v>
      </c>
    </row>
    <row r="263" spans="1:65" ht="14.25" customHeight="1">
      <c r="A263" s="15" t="s">
        <v>0</v>
      </c>
      <c r="B263" s="19"/>
      <c r="C263" s="169"/>
      <c r="D263" s="120"/>
      <c r="E263" s="120"/>
      <c r="F263" s="120"/>
      <c r="G263" s="120"/>
      <c r="H263" s="170"/>
      <c r="I263" s="19"/>
      <c r="J263" s="19"/>
      <c r="K263" s="171"/>
      <c r="L263" s="163"/>
      <c r="M263" s="15"/>
      <c r="N263" s="15"/>
      <c r="O263" s="15"/>
      <c r="P263" s="165"/>
      <c r="Q263" s="163"/>
      <c r="R263" s="15"/>
      <c r="S263" s="165"/>
      <c r="T263" s="188"/>
      <c r="U263" s="188"/>
      <c r="V263" s="25">
        <v>353.11500000000001</v>
      </c>
      <c r="W263" s="15" t="s">
        <v>499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67"/>
      <c r="AM263" s="15"/>
      <c r="AN263" s="24"/>
      <c r="AO263" s="24"/>
      <c r="AP263" s="24"/>
      <c r="AQ263" s="24"/>
      <c r="AR263" s="24"/>
      <c r="AS263" s="25"/>
      <c r="AT263" s="25"/>
      <c r="AU263" s="168"/>
      <c r="AV263" s="15"/>
      <c r="AW263" s="24"/>
      <c r="AX263" s="268"/>
      <c r="AY263" s="268"/>
      <c r="AZ263" s="24"/>
      <c r="BA263" s="168"/>
      <c r="BB263" s="24"/>
      <c r="BC263" s="24"/>
      <c r="BD263" s="24"/>
      <c r="BE263" s="24"/>
      <c r="BF263" s="24"/>
      <c r="BG263" s="24"/>
      <c r="BH263" s="16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69" t="s">
        <v>37</v>
      </c>
      <c r="D264" s="120">
        <v>6.992</v>
      </c>
      <c r="E264" s="120">
        <f>D264*4</f>
        <v>27.968</v>
      </c>
      <c r="F264" s="120">
        <f>E264*8</f>
        <v>223.744</v>
      </c>
      <c r="G264" s="120"/>
      <c r="H264" s="170"/>
      <c r="I264" s="19"/>
      <c r="J264" s="19"/>
      <c r="K264" s="171"/>
      <c r="L264" s="163">
        <v>2.6070000000000002</v>
      </c>
      <c r="M264" s="15">
        <v>2.657</v>
      </c>
      <c r="N264" s="15">
        <v>2E-3</v>
      </c>
      <c r="O264" s="15">
        <v>0.21299999999999999</v>
      </c>
      <c r="P264" s="165">
        <f t="shared" si="80"/>
        <v>5.4790000000000001</v>
      </c>
      <c r="Q264" s="163">
        <v>0.24399999999999999</v>
      </c>
      <c r="R264" s="15">
        <v>5.0000000000000001E-3</v>
      </c>
      <c r="S264" s="165">
        <f t="shared" si="81"/>
        <v>0.249</v>
      </c>
      <c r="T264" s="188"/>
      <c r="U264" s="166" t="s">
        <v>535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67"/>
      <c r="AM264" s="127" t="s">
        <v>20</v>
      </c>
      <c r="AN264" s="121" t="str">
        <f>AO264</f>
        <v>D</v>
      </c>
      <c r="AO264" s="121" t="s">
        <v>21</v>
      </c>
      <c r="AP264" s="338">
        <v>45526</v>
      </c>
      <c r="AQ264" s="338">
        <v>45579</v>
      </c>
      <c r="AR264" s="338">
        <v>45580</v>
      </c>
      <c r="AS264" s="507">
        <v>45583</v>
      </c>
      <c r="AT264" s="25" t="s">
        <v>590</v>
      </c>
      <c r="AU264" s="173"/>
      <c r="AV264" s="127" t="s">
        <v>20</v>
      </c>
      <c r="AW264" s="15" t="s">
        <v>6</v>
      </c>
      <c r="AX264" s="268">
        <f>AY264</f>
        <v>45659</v>
      </c>
      <c r="AY264" s="268">
        <f>BE264-1</f>
        <v>45659</v>
      </c>
      <c r="AZ264" s="172" t="s">
        <v>538</v>
      </c>
      <c r="BA264" s="173"/>
      <c r="BB264" s="127" t="s">
        <v>20</v>
      </c>
      <c r="BC264" s="121"/>
      <c r="BD264" s="121" t="s">
        <v>21</v>
      </c>
      <c r="BE264" s="269">
        <f>BF264-2</f>
        <v>45660</v>
      </c>
      <c r="BF264" s="269">
        <v>45662</v>
      </c>
      <c r="BG264" s="17" t="s">
        <v>505</v>
      </c>
      <c r="BH264" s="178"/>
      <c r="BI264" s="127" t="s">
        <v>20</v>
      </c>
      <c r="BJ264" s="121">
        <f>BK264</f>
        <v>45750</v>
      </c>
      <c r="BK264" s="121">
        <v>45750</v>
      </c>
      <c r="BL264" s="25">
        <v>1330</v>
      </c>
      <c r="BM264" s="24" t="s">
        <v>586</v>
      </c>
    </row>
    <row r="265" spans="1:65" ht="14.25" customHeight="1">
      <c r="A265" s="15" t="s">
        <v>0</v>
      </c>
      <c r="B265" s="19"/>
      <c r="C265" s="169"/>
      <c r="D265" s="120"/>
      <c r="E265" s="120"/>
      <c r="F265" s="120"/>
      <c r="G265" s="120"/>
      <c r="H265" s="170"/>
      <c r="I265" s="19"/>
      <c r="J265" s="19"/>
      <c r="K265" s="171"/>
      <c r="L265" s="163"/>
      <c r="M265" s="15"/>
      <c r="N265" s="15"/>
      <c r="O265" s="15"/>
      <c r="P265" s="165"/>
      <c r="Q265" s="163"/>
      <c r="R265" s="15"/>
      <c r="S265" s="165"/>
      <c r="T265" s="188"/>
      <c r="U265" s="188"/>
      <c r="V265" s="25">
        <v>374.20100000000002</v>
      </c>
      <c r="W265" s="15" t="s">
        <v>499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67"/>
      <c r="AM265" s="15"/>
      <c r="AN265" s="24"/>
      <c r="AO265" s="24"/>
      <c r="AP265" s="24"/>
      <c r="AQ265" s="24"/>
      <c r="AR265" s="24"/>
      <c r="AS265" s="25"/>
      <c r="AT265" s="25"/>
      <c r="AU265" s="168"/>
      <c r="AV265" s="15"/>
      <c r="AW265" s="24"/>
      <c r="AX265" s="268"/>
      <c r="AY265" s="268"/>
      <c r="AZ265" s="24"/>
      <c r="BA265" s="168"/>
      <c r="BB265" s="24"/>
      <c r="BC265" s="24"/>
      <c r="BD265" s="24"/>
      <c r="BE265" s="24"/>
      <c r="BF265" s="24"/>
      <c r="BG265" s="24"/>
      <c r="BH265" s="16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69" t="s">
        <v>37</v>
      </c>
      <c r="D266" s="120">
        <v>6.992</v>
      </c>
      <c r="E266" s="120">
        <f>D266*4</f>
        <v>27.968</v>
      </c>
      <c r="F266" s="120">
        <f>E266*8</f>
        <v>223.744</v>
      </c>
      <c r="G266" s="120"/>
      <c r="H266" s="170"/>
      <c r="I266" s="19"/>
      <c r="J266" s="19"/>
      <c r="K266" s="171"/>
      <c r="L266" s="163">
        <v>2.6070000000000002</v>
      </c>
      <c r="M266" s="15">
        <v>2.657</v>
      </c>
      <c r="N266" s="15">
        <v>2E-3</v>
      </c>
      <c r="O266" s="15">
        <v>0.21299999999999999</v>
      </c>
      <c r="P266" s="165">
        <f t="shared" si="80"/>
        <v>5.4790000000000001</v>
      </c>
      <c r="Q266" s="163">
        <v>0.24399999999999999</v>
      </c>
      <c r="R266" s="15">
        <v>5.0000000000000001E-3</v>
      </c>
      <c r="S266" s="165">
        <f t="shared" si="81"/>
        <v>0.249</v>
      </c>
      <c r="T266" s="188"/>
      <c r="U266" s="166" t="s">
        <v>535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67"/>
      <c r="AM266" s="127" t="s">
        <v>20</v>
      </c>
      <c r="AN266" s="121" t="str">
        <f>AO266</f>
        <v>D</v>
      </c>
      <c r="AO266" s="121" t="s">
        <v>21</v>
      </c>
      <c r="AP266" s="338">
        <v>45603</v>
      </c>
      <c r="AQ266" s="338">
        <f t="shared" ref="AQ266:AR266" si="92">AR266-2</f>
        <v>45606</v>
      </c>
      <c r="AR266" s="338">
        <f t="shared" si="92"/>
        <v>45608</v>
      </c>
      <c r="AS266" s="507">
        <v>45610</v>
      </c>
      <c r="AT266" s="15" t="s">
        <v>560</v>
      </c>
      <c r="AU266" s="184"/>
      <c r="AV266" s="127" t="s">
        <v>20</v>
      </c>
      <c r="AW266" s="15" t="s">
        <v>6</v>
      </c>
      <c r="AX266" s="268">
        <f>AY266</f>
        <v>45663</v>
      </c>
      <c r="AY266" s="268">
        <v>45663</v>
      </c>
      <c r="AZ266" s="172" t="s">
        <v>538</v>
      </c>
      <c r="BA266" s="173"/>
      <c r="BB266" s="127" t="s">
        <v>20</v>
      </c>
      <c r="BC266" s="121"/>
      <c r="BD266" s="121" t="s">
        <v>21</v>
      </c>
      <c r="BE266" s="269">
        <f>BF266-1</f>
        <v>45664</v>
      </c>
      <c r="BF266" s="269">
        <v>45665</v>
      </c>
      <c r="BG266" s="17" t="s">
        <v>505</v>
      </c>
      <c r="BH266" s="177"/>
      <c r="BI266" s="127" t="s">
        <v>20</v>
      </c>
      <c r="BJ266" s="121">
        <f>BK266</f>
        <v>45751</v>
      </c>
      <c r="BK266" s="121">
        <v>45751</v>
      </c>
      <c r="BL266" s="25">
        <v>1330</v>
      </c>
      <c r="BM266" s="24" t="s">
        <v>586</v>
      </c>
    </row>
    <row r="267" spans="1:65" ht="14.25" customHeight="1">
      <c r="A267" s="15" t="s">
        <v>0</v>
      </c>
      <c r="B267" s="19"/>
      <c r="C267" s="169"/>
      <c r="D267" s="120"/>
      <c r="E267" s="120"/>
      <c r="F267" s="120"/>
      <c r="G267" s="120"/>
      <c r="H267" s="170"/>
      <c r="I267" s="19"/>
      <c r="J267" s="19"/>
      <c r="K267" s="171"/>
      <c r="L267" s="163"/>
      <c r="M267" s="15"/>
      <c r="N267" s="15"/>
      <c r="O267" s="15"/>
      <c r="P267" s="165"/>
      <c r="Q267" s="163"/>
      <c r="R267" s="15"/>
      <c r="S267" s="165"/>
      <c r="T267" s="188"/>
      <c r="U267" s="188"/>
      <c r="V267" s="25">
        <v>341.32100000000003</v>
      </c>
      <c r="W267" s="15" t="s">
        <v>536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67"/>
      <c r="AM267" s="15"/>
      <c r="AN267" s="24"/>
      <c r="AO267" s="24"/>
      <c r="AP267" s="24"/>
      <c r="AQ267" s="24"/>
      <c r="AR267" s="24"/>
      <c r="AS267" s="25"/>
      <c r="AT267" s="25"/>
      <c r="AU267" s="168"/>
      <c r="AV267" s="15"/>
      <c r="AW267" s="24"/>
      <c r="AX267" s="268"/>
      <c r="AY267" s="268"/>
      <c r="AZ267" s="24"/>
      <c r="BA267" s="168"/>
      <c r="BB267" s="24"/>
      <c r="BC267" s="24"/>
      <c r="BD267" s="24"/>
      <c r="BE267" s="24"/>
      <c r="BF267" s="24"/>
      <c r="BG267" s="24"/>
      <c r="BH267" s="16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69" t="s">
        <v>56</v>
      </c>
      <c r="D268" s="120">
        <v>7.6219999999999999</v>
      </c>
      <c r="E268" s="120">
        <f>D268*4</f>
        <v>30.488</v>
      </c>
      <c r="F268" s="120">
        <f>E268*8</f>
        <v>243.904</v>
      </c>
      <c r="G268" s="120"/>
      <c r="H268" s="170"/>
      <c r="I268" s="19"/>
      <c r="J268" s="19"/>
      <c r="K268" s="171"/>
      <c r="L268" s="163">
        <v>2.6789999999999998</v>
      </c>
      <c r="M268" s="15">
        <v>3.133</v>
      </c>
      <c r="N268" s="15">
        <v>2.5000000000000001E-3</v>
      </c>
      <c r="O268" s="15">
        <v>0.23299999999999998</v>
      </c>
      <c r="P268" s="165">
        <f t="shared" ref="P268:P330" si="93">SUM(L268:O268)</f>
        <v>6.0474999999999994</v>
      </c>
      <c r="Q268" s="163">
        <v>0.24399999999999999</v>
      </c>
      <c r="R268" s="15">
        <v>5.0000000000000001E-3</v>
      </c>
      <c r="S268" s="165">
        <f t="shared" ref="S268:S328" si="94">SUM(Q268:R268)</f>
        <v>0.249</v>
      </c>
      <c r="T268" s="188"/>
      <c r="U268" s="166" t="s">
        <v>535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67"/>
      <c r="AM268" s="127" t="s">
        <v>20</v>
      </c>
      <c r="AN268" s="121" t="str">
        <f>AO268</f>
        <v>D</v>
      </c>
      <c r="AO268" s="121" t="s">
        <v>21</v>
      </c>
      <c r="AP268" s="338">
        <f t="shared" ref="AP268:AQ268" si="96">AQ268-1</f>
        <v>45612</v>
      </c>
      <c r="AQ268" s="338">
        <f t="shared" si="96"/>
        <v>45613</v>
      </c>
      <c r="AR268" s="338">
        <f>AS268-2</f>
        <v>45614</v>
      </c>
      <c r="AS268" s="507">
        <v>45616</v>
      </c>
      <c r="AT268" s="15" t="s">
        <v>560</v>
      </c>
      <c r="AU268" s="184"/>
      <c r="AV268" s="127" t="s">
        <v>20</v>
      </c>
      <c r="AW268" s="15" t="s">
        <v>6</v>
      </c>
      <c r="AX268" s="268">
        <v>45623</v>
      </c>
      <c r="AY268" s="268">
        <v>45623</v>
      </c>
      <c r="AZ268" s="19" t="s">
        <v>560</v>
      </c>
      <c r="BA268" s="184"/>
      <c r="BB268" s="127" t="s">
        <v>20</v>
      </c>
      <c r="BC268" s="121"/>
      <c r="BD268" s="121" t="s">
        <v>21</v>
      </c>
      <c r="BE268" s="269">
        <f>BF268-2</f>
        <v>45671</v>
      </c>
      <c r="BF268" s="269">
        <v>45673</v>
      </c>
      <c r="BG268" s="17" t="s">
        <v>505</v>
      </c>
      <c r="BH268" s="179"/>
      <c r="BI268" s="127" t="s">
        <v>20</v>
      </c>
      <c r="BJ268" s="121">
        <f>BK268</f>
        <v>45763</v>
      </c>
      <c r="BK268" s="121">
        <v>45763</v>
      </c>
      <c r="BL268" s="25">
        <v>1545</v>
      </c>
      <c r="BM268" s="24" t="s">
        <v>586</v>
      </c>
    </row>
    <row r="269" spans="1:65" ht="14.25" customHeight="1">
      <c r="A269" s="15" t="s">
        <v>0</v>
      </c>
      <c r="B269" s="19"/>
      <c r="C269" s="169"/>
      <c r="D269" s="120"/>
      <c r="E269" s="120"/>
      <c r="F269" s="120"/>
      <c r="G269" s="120"/>
      <c r="H269" s="170"/>
      <c r="I269" s="19"/>
      <c r="J269" s="19"/>
      <c r="K269" s="171"/>
      <c r="L269" s="163"/>
      <c r="M269" s="15"/>
      <c r="N269" s="15"/>
      <c r="O269" s="15"/>
      <c r="P269" s="165"/>
      <c r="Q269" s="163"/>
      <c r="R269" s="15"/>
      <c r="S269" s="165"/>
      <c r="T269" s="188"/>
      <c r="U269" s="188"/>
      <c r="V269" s="25">
        <v>347.95800000000003</v>
      </c>
      <c r="W269" s="15" t="s">
        <v>536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67"/>
      <c r="AM269" s="15"/>
      <c r="AN269" s="24"/>
      <c r="AO269" s="24"/>
      <c r="AP269" s="24"/>
      <c r="AQ269" s="24"/>
      <c r="AR269" s="24"/>
      <c r="AS269" s="25"/>
      <c r="AT269" s="25"/>
      <c r="AU269" s="168"/>
      <c r="AV269" s="15"/>
      <c r="AW269" s="24"/>
      <c r="AX269" s="268"/>
      <c r="AY269" s="268"/>
      <c r="AZ269" s="24"/>
      <c r="BA269" s="168"/>
      <c r="BB269" s="24"/>
      <c r="BC269" s="24"/>
      <c r="BD269" s="24"/>
      <c r="BE269" s="24"/>
      <c r="BF269" s="24"/>
      <c r="BG269" s="24"/>
      <c r="BH269" s="16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69" t="s">
        <v>37</v>
      </c>
      <c r="D270" s="120">
        <v>6.992</v>
      </c>
      <c r="E270" s="120">
        <f>D270*4</f>
        <v>27.968</v>
      </c>
      <c r="F270" s="120">
        <f>E270*8</f>
        <v>223.744</v>
      </c>
      <c r="G270" s="120"/>
      <c r="H270" s="170"/>
      <c r="I270" s="19"/>
      <c r="J270" s="19"/>
      <c r="K270" s="171"/>
      <c r="L270" s="163">
        <v>2.6070000000000002</v>
      </c>
      <c r="M270" s="15">
        <v>2.657</v>
      </c>
      <c r="N270" s="15">
        <v>2E-3</v>
      </c>
      <c r="O270" s="15">
        <v>0.21299999999999999</v>
      </c>
      <c r="P270" s="165">
        <f t="shared" si="93"/>
        <v>5.4790000000000001</v>
      </c>
      <c r="Q270" s="163">
        <v>0.24399999999999999</v>
      </c>
      <c r="R270" s="15">
        <v>5.0000000000000001E-3</v>
      </c>
      <c r="S270" s="165">
        <f t="shared" si="94"/>
        <v>0.249</v>
      </c>
      <c r="T270" s="188"/>
      <c r="U270" s="166" t="s">
        <v>535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67"/>
      <c r="AM270" s="127" t="s">
        <v>20</v>
      </c>
      <c r="AN270" s="121" t="str">
        <f>AO270</f>
        <v>D</v>
      </c>
      <c r="AO270" s="121" t="s">
        <v>21</v>
      </c>
      <c r="AP270" s="338">
        <f t="shared" ref="AP270:AR270" si="97">AQ270-2</f>
        <v>45620</v>
      </c>
      <c r="AQ270" s="338">
        <f t="shared" si="97"/>
        <v>45622</v>
      </c>
      <c r="AR270" s="338">
        <f t="shared" si="97"/>
        <v>45624</v>
      </c>
      <c r="AS270" s="507">
        <v>45626</v>
      </c>
      <c r="AT270" s="15" t="s">
        <v>560</v>
      </c>
      <c r="AU270" s="184"/>
      <c r="AV270" s="127" t="s">
        <v>20</v>
      </c>
      <c r="AW270" s="15" t="s">
        <v>6</v>
      </c>
      <c r="AX270" s="268">
        <v>45628</v>
      </c>
      <c r="AY270" s="268">
        <v>45628</v>
      </c>
      <c r="AZ270" s="19" t="s">
        <v>560</v>
      </c>
      <c r="BA270" s="184"/>
      <c r="BB270" s="127" t="s">
        <v>20</v>
      </c>
      <c r="BC270" s="121"/>
      <c r="BD270" s="121" t="s">
        <v>21</v>
      </c>
      <c r="BE270" s="269">
        <v>45666</v>
      </c>
      <c r="BF270" s="269">
        <v>45667</v>
      </c>
      <c r="BG270" s="17" t="s">
        <v>505</v>
      </c>
      <c r="BH270" s="177"/>
      <c r="BI270" s="127" t="s">
        <v>20</v>
      </c>
      <c r="BJ270" s="121">
        <v>45773</v>
      </c>
      <c r="BK270" s="121">
        <v>45773</v>
      </c>
      <c r="BL270" s="25">
        <v>1330</v>
      </c>
      <c r="BM270" s="24" t="s">
        <v>586</v>
      </c>
    </row>
    <row r="271" spans="1:65" ht="14.25" customHeight="1">
      <c r="A271" s="15" t="s">
        <v>0</v>
      </c>
      <c r="B271" s="19"/>
      <c r="C271" s="169"/>
      <c r="D271" s="120"/>
      <c r="E271" s="120"/>
      <c r="F271" s="120"/>
      <c r="G271" s="120"/>
      <c r="H271" s="170"/>
      <c r="I271" s="19"/>
      <c r="J271" s="19"/>
      <c r="K271" s="171"/>
      <c r="L271" s="163"/>
      <c r="M271" s="15"/>
      <c r="N271" s="15"/>
      <c r="O271" s="15"/>
      <c r="P271" s="165"/>
      <c r="Q271" s="163"/>
      <c r="R271" s="15"/>
      <c r="S271" s="165"/>
      <c r="T271" s="188"/>
      <c r="U271" s="188"/>
      <c r="V271" s="25">
        <v>384.02</v>
      </c>
      <c r="W271" s="15" t="s">
        <v>499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67"/>
      <c r="AM271" s="15"/>
      <c r="AN271" s="24"/>
      <c r="AO271" s="24"/>
      <c r="AP271" s="24"/>
      <c r="AQ271" s="24"/>
      <c r="AR271" s="24"/>
      <c r="AS271" s="25"/>
      <c r="AT271" s="25"/>
      <c r="AU271" s="168"/>
      <c r="AV271" s="15"/>
      <c r="AW271" s="24"/>
      <c r="AX271" s="268"/>
      <c r="AY271" s="268"/>
      <c r="AZ271" s="24"/>
      <c r="BA271" s="168"/>
      <c r="BB271" s="24"/>
      <c r="BC271" s="24"/>
      <c r="BD271" s="24"/>
      <c r="BE271" s="24"/>
      <c r="BF271" s="24"/>
      <c r="BG271" s="24"/>
      <c r="BH271" s="16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69" t="s">
        <v>37</v>
      </c>
      <c r="D272" s="120">
        <v>6.992</v>
      </c>
      <c r="E272" s="120">
        <f>D272*4</f>
        <v>27.968</v>
      </c>
      <c r="F272" s="120">
        <f>E272*8</f>
        <v>223.744</v>
      </c>
      <c r="G272" s="120"/>
      <c r="H272" s="170"/>
      <c r="I272" s="19"/>
      <c r="J272" s="19"/>
      <c r="K272" s="171"/>
      <c r="L272" s="163">
        <v>2.6070000000000002</v>
      </c>
      <c r="M272" s="15">
        <v>2.657</v>
      </c>
      <c r="N272" s="15">
        <v>2E-3</v>
      </c>
      <c r="O272" s="15">
        <v>0.21299999999999999</v>
      </c>
      <c r="P272" s="165">
        <f t="shared" si="93"/>
        <v>5.4790000000000001</v>
      </c>
      <c r="Q272" s="163">
        <v>0.24399999999999999</v>
      </c>
      <c r="R272" s="15">
        <v>5.0000000000000001E-3</v>
      </c>
      <c r="S272" s="165">
        <f t="shared" si="94"/>
        <v>0.249</v>
      </c>
      <c r="T272" s="188"/>
      <c r="U272" s="166" t="s">
        <v>535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67"/>
      <c r="AM272" s="127" t="s">
        <v>20</v>
      </c>
      <c r="AN272" s="121" t="str">
        <f>AO272</f>
        <v>D</v>
      </c>
      <c r="AO272" s="121" t="s">
        <v>21</v>
      </c>
      <c r="AP272" s="338">
        <v>45604</v>
      </c>
      <c r="AQ272" s="338">
        <f>AP272+11</f>
        <v>45615</v>
      </c>
      <c r="AR272" s="338">
        <f>AS272-4</f>
        <v>45618</v>
      </c>
      <c r="AS272" s="507">
        <v>45622</v>
      </c>
      <c r="AT272" s="15" t="s">
        <v>560</v>
      </c>
      <c r="AU272" s="184"/>
      <c r="AV272" s="127" t="s">
        <v>20</v>
      </c>
      <c r="AW272" s="15" t="s">
        <v>6</v>
      </c>
      <c r="AX272" s="268">
        <v>45627</v>
      </c>
      <c r="AY272" s="268">
        <v>45627</v>
      </c>
      <c r="AZ272" s="19" t="s">
        <v>560</v>
      </c>
      <c r="BA272" s="184"/>
      <c r="BB272" s="127" t="s">
        <v>20</v>
      </c>
      <c r="BC272" s="121"/>
      <c r="BD272" s="121" t="s">
        <v>21</v>
      </c>
      <c r="BE272" s="269">
        <v>45668</v>
      </c>
      <c r="BF272" s="269">
        <v>45669</v>
      </c>
      <c r="BG272" s="17" t="s">
        <v>505</v>
      </c>
      <c r="BH272" s="178"/>
      <c r="BI272" s="127" t="s">
        <v>20</v>
      </c>
      <c r="BJ272" s="121">
        <f>BK272-2</f>
        <v>45771</v>
      </c>
      <c r="BK272" s="121">
        <v>45773</v>
      </c>
      <c r="BL272" s="25">
        <v>1330</v>
      </c>
      <c r="BM272" s="24" t="s">
        <v>586</v>
      </c>
    </row>
    <row r="273" spans="1:65" ht="14.25" customHeight="1">
      <c r="A273" s="15" t="s">
        <v>0</v>
      </c>
      <c r="B273" s="19"/>
      <c r="C273" s="169"/>
      <c r="D273" s="120"/>
      <c r="E273" s="120"/>
      <c r="F273" s="120"/>
      <c r="G273" s="120"/>
      <c r="H273" s="170"/>
      <c r="I273" s="19"/>
      <c r="J273" s="19"/>
      <c r="K273" s="171"/>
      <c r="L273" s="163"/>
      <c r="M273" s="15"/>
      <c r="N273" s="15"/>
      <c r="O273" s="15"/>
      <c r="P273" s="165"/>
      <c r="Q273" s="163"/>
      <c r="R273" s="15"/>
      <c r="S273" s="165"/>
      <c r="T273" s="188"/>
      <c r="U273" s="188"/>
      <c r="V273" s="25">
        <v>269.69400000000002</v>
      </c>
      <c r="W273" s="15" t="s">
        <v>499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67"/>
      <c r="AM273" s="15"/>
      <c r="AN273" s="24"/>
      <c r="AO273" s="24"/>
      <c r="AP273" s="24"/>
      <c r="AQ273" s="24"/>
      <c r="AR273" s="24"/>
      <c r="AS273" s="25"/>
      <c r="AT273" s="25"/>
      <c r="AU273" s="168"/>
      <c r="AV273" s="15"/>
      <c r="AW273" s="24"/>
      <c r="AX273" s="268"/>
      <c r="AY273" s="268"/>
      <c r="AZ273" s="24"/>
      <c r="BA273" s="168"/>
      <c r="BB273" s="24"/>
      <c r="BC273" s="24"/>
      <c r="BD273" s="24"/>
      <c r="BE273" s="24"/>
      <c r="BF273" s="24"/>
      <c r="BG273" s="24"/>
      <c r="BH273" s="16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69" t="s">
        <v>37</v>
      </c>
      <c r="D274" s="120">
        <v>6.992</v>
      </c>
      <c r="E274" s="120">
        <f>D274*4</f>
        <v>27.968</v>
      </c>
      <c r="F274" s="120">
        <f>E274*8</f>
        <v>223.744</v>
      </c>
      <c r="G274" s="120"/>
      <c r="H274" s="170"/>
      <c r="I274" s="19"/>
      <c r="J274" s="19"/>
      <c r="K274" s="171"/>
      <c r="L274" s="163">
        <v>2.6070000000000002</v>
      </c>
      <c r="M274" s="15">
        <v>2.657</v>
      </c>
      <c r="N274" s="15">
        <v>2E-3</v>
      </c>
      <c r="O274" s="15">
        <v>0.21299999999999999</v>
      </c>
      <c r="P274" s="165">
        <f t="shared" si="93"/>
        <v>5.4790000000000001</v>
      </c>
      <c r="Q274" s="163">
        <v>0.24399999999999999</v>
      </c>
      <c r="R274" s="15">
        <v>5.0000000000000001E-3</v>
      </c>
      <c r="S274" s="165">
        <f t="shared" si="94"/>
        <v>0.249</v>
      </c>
      <c r="T274" s="188"/>
      <c r="U274" s="166" t="s">
        <v>535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67"/>
      <c r="AM274" s="127" t="s">
        <v>20</v>
      </c>
      <c r="AN274" s="121" t="str">
        <f>AO274</f>
        <v>D</v>
      </c>
      <c r="AO274" s="121" t="s">
        <v>21</v>
      </c>
      <c r="AP274" s="338">
        <v>45589</v>
      </c>
      <c r="AQ274" s="338">
        <f>AR274-5</f>
        <v>45617</v>
      </c>
      <c r="AR274" s="338">
        <f>AS274-4</f>
        <v>45622</v>
      </c>
      <c r="AS274" s="507">
        <v>45626</v>
      </c>
      <c r="AT274" s="25" t="s">
        <v>590</v>
      </c>
      <c r="AU274" s="173"/>
      <c r="AV274" s="127" t="s">
        <v>20</v>
      </c>
      <c r="AW274" s="15" t="s">
        <v>6</v>
      </c>
      <c r="AX274" s="268">
        <f>AY274</f>
        <v>45667</v>
      </c>
      <c r="AY274" s="268">
        <v>45667</v>
      </c>
      <c r="AZ274" s="172" t="s">
        <v>538</v>
      </c>
      <c r="BA274" s="173"/>
      <c r="BB274" s="127" t="s">
        <v>20</v>
      </c>
      <c r="BC274" s="121"/>
      <c r="BD274" s="121" t="s">
        <v>21</v>
      </c>
      <c r="BE274" s="269">
        <v>45669</v>
      </c>
      <c r="BF274" s="269">
        <v>45670</v>
      </c>
      <c r="BG274" s="17" t="s">
        <v>505</v>
      </c>
      <c r="BH274" s="178"/>
      <c r="BI274" s="127" t="s">
        <v>20</v>
      </c>
      <c r="BJ274" s="121">
        <f>BK274-2</f>
        <v>45771</v>
      </c>
      <c r="BK274" s="121">
        <v>45773</v>
      </c>
      <c r="BL274" s="25">
        <v>1330</v>
      </c>
      <c r="BM274" s="24" t="s">
        <v>586</v>
      </c>
    </row>
    <row r="275" spans="1:65" ht="14.25" customHeight="1">
      <c r="A275" s="15" t="s">
        <v>0</v>
      </c>
      <c r="B275" s="19"/>
      <c r="C275" s="169"/>
      <c r="D275" s="120"/>
      <c r="E275" s="120"/>
      <c r="F275" s="120"/>
      <c r="G275" s="120"/>
      <c r="H275" s="170"/>
      <c r="I275" s="19"/>
      <c r="J275" s="19"/>
      <c r="K275" s="171"/>
      <c r="L275" s="163"/>
      <c r="M275" s="15"/>
      <c r="N275" s="15"/>
      <c r="O275" s="15"/>
      <c r="P275" s="165"/>
      <c r="Q275" s="163"/>
      <c r="R275" s="15"/>
      <c r="S275" s="165"/>
      <c r="T275" s="188"/>
      <c r="U275" s="188"/>
      <c r="V275" s="25">
        <v>394.041</v>
      </c>
      <c r="W275" s="15" t="s">
        <v>499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67"/>
      <c r="AM275" s="15"/>
      <c r="AN275" s="24"/>
      <c r="AO275" s="24"/>
      <c r="AP275" s="24"/>
      <c r="AQ275" s="24"/>
      <c r="AR275" s="24"/>
      <c r="AS275" s="25"/>
      <c r="AT275" s="25"/>
      <c r="AU275" s="168"/>
      <c r="AV275" s="15"/>
      <c r="AW275" s="24"/>
      <c r="AX275" s="268"/>
      <c r="AY275" s="268"/>
      <c r="AZ275" s="24"/>
      <c r="BA275" s="168"/>
      <c r="BB275" s="24"/>
      <c r="BC275" s="24"/>
      <c r="BD275" s="24"/>
      <c r="BE275" s="24"/>
      <c r="BF275" s="24"/>
      <c r="BG275" s="24"/>
      <c r="BH275" s="16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69" t="s">
        <v>37</v>
      </c>
      <c r="D276" s="120">
        <v>6.992</v>
      </c>
      <c r="E276" s="120">
        <f>D276*4</f>
        <v>27.968</v>
      </c>
      <c r="F276" s="120">
        <f>E276*8</f>
        <v>223.744</v>
      </c>
      <c r="G276" s="120"/>
      <c r="H276" s="170"/>
      <c r="I276" s="19"/>
      <c r="J276" s="19"/>
      <c r="K276" s="171"/>
      <c r="L276" s="163">
        <v>2.6070000000000002</v>
      </c>
      <c r="M276" s="15">
        <v>2.657</v>
      </c>
      <c r="N276" s="15">
        <v>2E-3</v>
      </c>
      <c r="O276" s="15">
        <v>0.21299999999999999</v>
      </c>
      <c r="P276" s="165">
        <f t="shared" si="93"/>
        <v>5.4790000000000001</v>
      </c>
      <c r="Q276" s="163">
        <v>0.24399999999999999</v>
      </c>
      <c r="R276" s="15">
        <v>5.0000000000000001E-3</v>
      </c>
      <c r="S276" s="165">
        <f t="shared" si="94"/>
        <v>0.249</v>
      </c>
      <c r="T276" s="188"/>
      <c r="U276" s="166" t="s">
        <v>535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67"/>
      <c r="AM276" s="127" t="s">
        <v>20</v>
      </c>
      <c r="AN276" s="121" t="str">
        <f>AO276</f>
        <v>D</v>
      </c>
      <c r="AO276" s="121" t="s">
        <v>21</v>
      </c>
      <c r="AP276" s="338">
        <v>45584</v>
      </c>
      <c r="AQ276" s="338">
        <v>45587</v>
      </c>
      <c r="AR276" s="338">
        <v>45585</v>
      </c>
      <c r="AS276" s="507">
        <v>45589</v>
      </c>
      <c r="AT276" s="25" t="s">
        <v>590</v>
      </c>
      <c r="AU276" s="173"/>
      <c r="AV276" s="127" t="s">
        <v>20</v>
      </c>
      <c r="AW276" s="15" t="s">
        <v>543</v>
      </c>
      <c r="AX276" s="268">
        <f>AY276</f>
        <v>45667</v>
      </c>
      <c r="AY276" s="268">
        <v>45667</v>
      </c>
      <c r="AZ276" s="172" t="s">
        <v>590</v>
      </c>
      <c r="BA276" s="173"/>
      <c r="BB276" s="127" t="s">
        <v>20</v>
      </c>
      <c r="BC276" s="121"/>
      <c r="BD276" s="121" t="s">
        <v>21</v>
      </c>
      <c r="BE276" s="269">
        <f>BF276-1</f>
        <v>45685</v>
      </c>
      <c r="BF276" s="269">
        <v>45686</v>
      </c>
      <c r="BG276" s="17" t="s">
        <v>505</v>
      </c>
      <c r="BH276" s="178"/>
      <c r="BI276" s="127" t="s">
        <v>20</v>
      </c>
      <c r="BJ276" s="121">
        <f>BK276-2</f>
        <v>45771</v>
      </c>
      <c r="BK276" s="121">
        <v>45773</v>
      </c>
      <c r="BL276" s="25">
        <v>1330</v>
      </c>
      <c r="BM276" s="24" t="s">
        <v>586</v>
      </c>
    </row>
    <row r="277" spans="1:65" ht="14.25" customHeight="1">
      <c r="A277" s="15" t="s">
        <v>0</v>
      </c>
      <c r="B277" s="19"/>
      <c r="C277" s="169"/>
      <c r="D277" s="120"/>
      <c r="E277" s="120"/>
      <c r="F277" s="120"/>
      <c r="G277" s="120"/>
      <c r="H277" s="170"/>
      <c r="I277" s="19"/>
      <c r="J277" s="19"/>
      <c r="K277" s="171"/>
      <c r="L277" s="163"/>
      <c r="M277" s="15"/>
      <c r="N277" s="15"/>
      <c r="O277" s="15"/>
      <c r="P277" s="165"/>
      <c r="Q277" s="163"/>
      <c r="R277" s="15"/>
      <c r="S277" s="165"/>
      <c r="T277" s="188"/>
      <c r="U277" s="188"/>
      <c r="V277" s="25">
        <v>300.61399999999998</v>
      </c>
      <c r="W277" s="15" t="s">
        <v>585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67"/>
      <c r="AM277" s="15"/>
      <c r="AN277" s="24"/>
      <c r="AO277" s="24"/>
      <c r="AP277" s="24"/>
      <c r="AQ277" s="24"/>
      <c r="AR277" s="24"/>
      <c r="AS277" s="25"/>
      <c r="AT277" s="25"/>
      <c r="AU277" s="168"/>
      <c r="AV277" s="15"/>
      <c r="AW277" s="24"/>
      <c r="AX277" s="268"/>
      <c r="AY277" s="268"/>
      <c r="AZ277" s="24"/>
      <c r="BA277" s="168"/>
      <c r="BB277" s="24"/>
      <c r="BC277" s="24"/>
      <c r="BD277" s="24"/>
      <c r="BE277" s="24"/>
      <c r="BF277" s="24"/>
      <c r="BG277" s="24"/>
      <c r="BH277" s="16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69" t="s">
        <v>89</v>
      </c>
      <c r="D278" s="120">
        <v>8.6300000000000008</v>
      </c>
      <c r="E278" s="120">
        <f>D278*4</f>
        <v>34.520000000000003</v>
      </c>
      <c r="F278" s="120">
        <f>E278*8</f>
        <v>276.16000000000003</v>
      </c>
      <c r="G278" s="120"/>
      <c r="H278" s="170"/>
      <c r="I278" s="19"/>
      <c r="J278" s="19"/>
      <c r="K278" s="171"/>
      <c r="L278" s="163">
        <v>3.867</v>
      </c>
      <c r="M278" s="15">
        <v>3.306</v>
      </c>
      <c r="N278" s="15">
        <v>5.0000000000000001E-3</v>
      </c>
      <c r="O278" s="15">
        <v>0.27600000000000002</v>
      </c>
      <c r="P278" s="165">
        <f t="shared" si="93"/>
        <v>7.4539999999999997</v>
      </c>
      <c r="Q278" s="163">
        <v>0.36299999999999999</v>
      </c>
      <c r="R278" s="15">
        <v>6.0000000000000001E-3</v>
      </c>
      <c r="S278" s="165">
        <f t="shared" si="94"/>
        <v>0.36899999999999999</v>
      </c>
      <c r="T278" s="188" t="s">
        <v>213</v>
      </c>
      <c r="U278" s="166" t="s">
        <v>535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67"/>
      <c r="AM278" s="127" t="s">
        <v>20</v>
      </c>
      <c r="AN278" s="121" t="str">
        <f>AO278</f>
        <v>D</v>
      </c>
      <c r="AO278" s="121" t="s">
        <v>21</v>
      </c>
      <c r="AP278" s="338">
        <v>45574</v>
      </c>
      <c r="AQ278" s="338">
        <v>45581</v>
      </c>
      <c r="AR278" s="338">
        <v>45582</v>
      </c>
      <c r="AS278" s="507">
        <v>45585</v>
      </c>
      <c r="AT278" s="25" t="s">
        <v>590</v>
      </c>
      <c r="AU278" s="173"/>
      <c r="AV278" s="127" t="s">
        <v>20</v>
      </c>
      <c r="AW278" s="15" t="s">
        <v>543</v>
      </c>
      <c r="AX278" s="268">
        <f>AY278</f>
        <v>45659</v>
      </c>
      <c r="AY278" s="268">
        <v>45659</v>
      </c>
      <c r="AZ278" s="172" t="s">
        <v>538</v>
      </c>
      <c r="BA278" s="173"/>
      <c r="BB278" s="127" t="s">
        <v>20</v>
      </c>
      <c r="BC278" s="121"/>
      <c r="BD278" s="121" t="s">
        <v>21</v>
      </c>
      <c r="BE278" s="269">
        <f>BF278-1</f>
        <v>45673</v>
      </c>
      <c r="BF278" s="269">
        <v>45674</v>
      </c>
      <c r="BG278" s="17" t="s">
        <v>505</v>
      </c>
      <c r="BH278" s="177"/>
      <c r="BI278" s="127" t="s">
        <v>20</v>
      </c>
      <c r="BJ278" s="121">
        <f>BK278-2</f>
        <v>45772</v>
      </c>
      <c r="BK278" s="121">
        <v>45774</v>
      </c>
      <c r="BL278" s="25">
        <v>1560</v>
      </c>
      <c r="BM278" s="24" t="s">
        <v>586</v>
      </c>
    </row>
    <row r="279" spans="1:65" ht="14.25" customHeight="1">
      <c r="A279" s="15" t="s">
        <v>0</v>
      </c>
      <c r="B279" s="19"/>
      <c r="C279" s="169"/>
      <c r="D279" s="120"/>
      <c r="E279" s="120"/>
      <c r="F279" s="120"/>
      <c r="G279" s="120"/>
      <c r="H279" s="170"/>
      <c r="I279" s="19"/>
      <c r="J279" s="19"/>
      <c r="K279" s="171"/>
      <c r="L279" s="163"/>
      <c r="M279" s="15"/>
      <c r="N279" s="15"/>
      <c r="O279" s="15"/>
      <c r="P279" s="165"/>
      <c r="Q279" s="163"/>
      <c r="R279" s="15"/>
      <c r="S279" s="165"/>
      <c r="T279" s="188"/>
      <c r="U279" s="188"/>
      <c r="V279" s="16">
        <v>315.42</v>
      </c>
      <c r="W279" s="15" t="s">
        <v>564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67"/>
      <c r="AM279" s="15"/>
      <c r="AN279" s="24"/>
      <c r="AO279" s="24"/>
      <c r="AP279" s="24"/>
      <c r="AQ279" s="24"/>
      <c r="AR279" s="24"/>
      <c r="AS279" s="25"/>
      <c r="AT279" s="25"/>
      <c r="AU279" s="168"/>
      <c r="AV279" s="15"/>
      <c r="AW279" s="24"/>
      <c r="AX279" s="268"/>
      <c r="AY279" s="268"/>
      <c r="AZ279" s="24"/>
      <c r="BA279" s="168"/>
      <c r="BB279" s="24"/>
      <c r="BC279" s="24"/>
      <c r="BD279" s="24"/>
      <c r="BE279" s="24"/>
      <c r="BF279" s="24"/>
      <c r="BG279" s="24"/>
      <c r="BH279" s="16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69" t="s">
        <v>42</v>
      </c>
      <c r="D280" s="120">
        <v>6.3620000000000001</v>
      </c>
      <c r="E280" s="120">
        <f>D280*4</f>
        <v>25.448</v>
      </c>
      <c r="F280" s="120">
        <f>E280*8</f>
        <v>203.584</v>
      </c>
      <c r="G280" s="120"/>
      <c r="H280" s="170"/>
      <c r="I280" s="19"/>
      <c r="J280" s="19"/>
      <c r="K280" s="171"/>
      <c r="L280" s="163">
        <v>2.25</v>
      </c>
      <c r="M280" s="15">
        <v>2.1880000000000002</v>
      </c>
      <c r="N280" s="15">
        <v>2E-3</v>
      </c>
      <c r="O280" s="15">
        <v>0.183</v>
      </c>
      <c r="P280" s="165">
        <f t="shared" si="93"/>
        <v>4.6230000000000002</v>
      </c>
      <c r="Q280" s="163">
        <v>0.24399999999999999</v>
      </c>
      <c r="R280" s="15">
        <v>5.0000000000000001E-3</v>
      </c>
      <c r="S280" s="165">
        <f t="shared" si="94"/>
        <v>0.249</v>
      </c>
      <c r="T280" s="188"/>
      <c r="U280" s="166" t="s">
        <v>535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67"/>
      <c r="AM280" s="127" t="s">
        <v>20</v>
      </c>
      <c r="AN280" s="121" t="str">
        <f>AO280</f>
        <v>D</v>
      </c>
      <c r="AO280" s="121" t="s">
        <v>21</v>
      </c>
      <c r="AP280" s="338">
        <v>45514</v>
      </c>
      <c r="AQ280" s="338">
        <v>45520</v>
      </c>
      <c r="AR280" s="338">
        <f>AS280-4</f>
        <v>45618</v>
      </c>
      <c r="AS280" s="507">
        <v>45622</v>
      </c>
      <c r="AT280" s="25" t="s">
        <v>538</v>
      </c>
      <c r="AU280" s="173"/>
      <c r="AV280" s="127" t="s">
        <v>20</v>
      </c>
      <c r="AW280" s="15" t="s">
        <v>543</v>
      </c>
      <c r="AX280" s="268">
        <f>AY280</f>
        <v>45660</v>
      </c>
      <c r="AY280" s="268">
        <v>45660</v>
      </c>
      <c r="AZ280" s="172" t="s">
        <v>538</v>
      </c>
      <c r="BA280" s="173"/>
      <c r="BB280" s="127" t="s">
        <v>20</v>
      </c>
      <c r="BC280" s="121"/>
      <c r="BD280" s="121" t="s">
        <v>21</v>
      </c>
      <c r="BE280" s="269">
        <f>BF280-1</f>
        <v>45675</v>
      </c>
      <c r="BF280" s="269">
        <v>45676</v>
      </c>
      <c r="BG280" s="17" t="s">
        <v>505</v>
      </c>
      <c r="BH280" s="178"/>
      <c r="BI280" s="127" t="s">
        <v>20</v>
      </c>
      <c r="BJ280" s="121">
        <f>BK280-2</f>
        <v>45772</v>
      </c>
      <c r="BK280" s="121">
        <v>45774</v>
      </c>
      <c r="BL280" s="25">
        <v>980</v>
      </c>
      <c r="BM280" s="24" t="s">
        <v>586</v>
      </c>
    </row>
    <row r="281" spans="1:65" ht="14.25" customHeight="1">
      <c r="A281" s="15" t="s">
        <v>0</v>
      </c>
      <c r="B281" s="19"/>
      <c r="C281" s="169"/>
      <c r="D281" s="120"/>
      <c r="E281" s="120"/>
      <c r="F281" s="120"/>
      <c r="G281" s="120"/>
      <c r="H281" s="170"/>
      <c r="I281" s="19"/>
      <c r="J281" s="19"/>
      <c r="K281" s="171"/>
      <c r="L281" s="163"/>
      <c r="M281" s="15"/>
      <c r="N281" s="15"/>
      <c r="O281" s="15"/>
      <c r="P281" s="165"/>
      <c r="Q281" s="163"/>
      <c r="R281" s="15"/>
      <c r="S281" s="165"/>
      <c r="T281" s="188"/>
      <c r="U281" s="188"/>
      <c r="V281" s="16">
        <v>329.64</v>
      </c>
      <c r="W281" s="15" t="s">
        <v>585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67"/>
      <c r="AM281" s="15"/>
      <c r="AN281" s="24"/>
      <c r="AO281" s="24"/>
      <c r="AP281" s="24"/>
      <c r="AQ281" s="24"/>
      <c r="AR281" s="24"/>
      <c r="AS281" s="25"/>
      <c r="AT281" s="25"/>
      <c r="AU281" s="168"/>
      <c r="AV281" s="15"/>
      <c r="AW281" s="24"/>
      <c r="AX281" s="268"/>
      <c r="AY281" s="268"/>
      <c r="AZ281" s="24"/>
      <c r="BA281" s="168"/>
      <c r="BB281" s="24"/>
      <c r="BC281" s="24"/>
      <c r="BD281" s="24"/>
      <c r="BE281" s="24"/>
      <c r="BF281" s="24"/>
      <c r="BG281" s="24"/>
      <c r="BH281" s="16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69" t="s">
        <v>37</v>
      </c>
      <c r="D282" s="120">
        <v>6.992</v>
      </c>
      <c r="E282" s="120">
        <f>D282*4</f>
        <v>27.968</v>
      </c>
      <c r="F282" s="120">
        <f>E282*8</f>
        <v>223.744</v>
      </c>
      <c r="G282" s="120"/>
      <c r="H282" s="170"/>
      <c r="I282" s="19"/>
      <c r="J282" s="19"/>
      <c r="K282" s="171"/>
      <c r="L282" s="163">
        <v>2.6070000000000002</v>
      </c>
      <c r="M282" s="15">
        <v>2.657</v>
      </c>
      <c r="N282" s="15">
        <v>2E-3</v>
      </c>
      <c r="O282" s="15">
        <v>0.21299999999999999</v>
      </c>
      <c r="P282" s="165">
        <f t="shared" si="93"/>
        <v>5.4790000000000001</v>
      </c>
      <c r="Q282" s="163">
        <v>0.24399999999999999</v>
      </c>
      <c r="R282" s="15">
        <v>5.0000000000000001E-3</v>
      </c>
      <c r="S282" s="165">
        <f t="shared" si="94"/>
        <v>0.249</v>
      </c>
      <c r="T282" s="188"/>
      <c r="U282" s="166" t="s">
        <v>535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67"/>
      <c r="AM282" s="127" t="s">
        <v>20</v>
      </c>
      <c r="AN282" s="121" t="str">
        <f>AO282</f>
        <v>D</v>
      </c>
      <c r="AO282" s="121" t="s">
        <v>21</v>
      </c>
      <c r="AP282" s="338">
        <v>45521</v>
      </c>
      <c r="AQ282" s="338">
        <v>45527</v>
      </c>
      <c r="AR282" s="338">
        <v>45528</v>
      </c>
      <c r="AS282" s="507">
        <v>45569</v>
      </c>
      <c r="AT282" s="25" t="s">
        <v>538</v>
      </c>
      <c r="AU282" s="173"/>
      <c r="AV282" s="127" t="s">
        <v>20</v>
      </c>
      <c r="AW282" s="15" t="s">
        <v>543</v>
      </c>
      <c r="AX282" s="268">
        <f>AY282</f>
        <v>45676</v>
      </c>
      <c r="AY282" s="268">
        <v>45676</v>
      </c>
      <c r="AZ282" s="172" t="s">
        <v>538</v>
      </c>
      <c r="BA282" s="173"/>
      <c r="BB282" s="127" t="s">
        <v>20</v>
      </c>
      <c r="BC282" s="121"/>
      <c r="BD282" s="121" t="s">
        <v>21</v>
      </c>
      <c r="BE282" s="269">
        <f>BF282-1</f>
        <v>45677</v>
      </c>
      <c r="BF282" s="269">
        <v>45678</v>
      </c>
      <c r="BG282" s="17" t="s">
        <v>505</v>
      </c>
      <c r="BH282" s="178"/>
      <c r="BI282" s="127" t="s">
        <v>20</v>
      </c>
      <c r="BJ282" s="121">
        <f>BK282-2</f>
        <v>45772</v>
      </c>
      <c r="BK282" s="121">
        <v>45774</v>
      </c>
      <c r="BL282" s="25">
        <v>1330</v>
      </c>
      <c r="BM282" s="24" t="s">
        <v>586</v>
      </c>
    </row>
    <row r="283" spans="1:65" ht="14.25" customHeight="1">
      <c r="A283" s="15" t="s">
        <v>0</v>
      </c>
      <c r="B283" s="19"/>
      <c r="C283" s="169"/>
      <c r="D283" s="120"/>
      <c r="E283" s="120"/>
      <c r="F283" s="120"/>
      <c r="G283" s="120"/>
      <c r="H283" s="170"/>
      <c r="I283" s="19"/>
      <c r="J283" s="19"/>
      <c r="K283" s="171"/>
      <c r="L283" s="163"/>
      <c r="M283" s="15"/>
      <c r="N283" s="15"/>
      <c r="O283" s="15"/>
      <c r="P283" s="165"/>
      <c r="Q283" s="163"/>
      <c r="R283" s="15"/>
      <c r="S283" s="165"/>
      <c r="T283" s="188"/>
      <c r="U283" s="188"/>
      <c r="V283" s="16">
        <v>382.97</v>
      </c>
      <c r="W283" s="15" t="s">
        <v>585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67"/>
      <c r="AM283" s="15"/>
      <c r="AN283" s="24"/>
      <c r="AO283" s="24"/>
      <c r="AP283" s="24"/>
      <c r="AQ283" s="24"/>
      <c r="AR283" s="24"/>
      <c r="AS283" s="25"/>
      <c r="AT283" s="25"/>
      <c r="AU283" s="168"/>
      <c r="AV283" s="15"/>
      <c r="AW283" s="24"/>
      <c r="AX283" s="268"/>
      <c r="AY283" s="268"/>
      <c r="AZ283" s="24"/>
      <c r="BA283" s="168"/>
      <c r="BB283" s="24"/>
      <c r="BC283" s="24"/>
      <c r="BD283" s="24"/>
      <c r="BE283" s="24"/>
      <c r="BF283" s="24"/>
      <c r="BG283" s="24"/>
      <c r="BH283" s="16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69" t="s">
        <v>37</v>
      </c>
      <c r="D284" s="120">
        <v>6.992</v>
      </c>
      <c r="E284" s="120">
        <f>D284*4</f>
        <v>27.968</v>
      </c>
      <c r="F284" s="120">
        <f>E284*8</f>
        <v>223.744</v>
      </c>
      <c r="G284" s="120"/>
      <c r="H284" s="170"/>
      <c r="I284" s="19"/>
      <c r="J284" s="19"/>
      <c r="K284" s="171"/>
      <c r="L284" s="163">
        <v>2.6070000000000002</v>
      </c>
      <c r="M284" s="15">
        <v>2.657</v>
      </c>
      <c r="N284" s="15">
        <v>2E-3</v>
      </c>
      <c r="O284" s="15">
        <v>0.21299999999999999</v>
      </c>
      <c r="P284" s="165">
        <f t="shared" si="93"/>
        <v>5.4790000000000001</v>
      </c>
      <c r="Q284" s="163">
        <v>0.24399999999999999</v>
      </c>
      <c r="R284" s="15">
        <v>5.0000000000000001E-3</v>
      </c>
      <c r="S284" s="165">
        <f t="shared" si="94"/>
        <v>0.249</v>
      </c>
      <c r="T284" s="188"/>
      <c r="U284" s="166" t="s">
        <v>535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67"/>
      <c r="AM284" s="127" t="s">
        <v>20</v>
      </c>
      <c r="AN284" s="24" t="s">
        <v>21</v>
      </c>
      <c r="AO284" s="121" t="s">
        <v>21</v>
      </c>
      <c r="AP284" s="338">
        <f t="shared" ref="AP284:AR284" si="99">AQ284-2</f>
        <v>45608</v>
      </c>
      <c r="AQ284" s="338">
        <f t="shared" si="99"/>
        <v>45610</v>
      </c>
      <c r="AR284" s="338">
        <f t="shared" si="99"/>
        <v>45612</v>
      </c>
      <c r="AS284" s="507">
        <v>45614</v>
      </c>
      <c r="AT284" s="25" t="s">
        <v>538</v>
      </c>
      <c r="AU284" s="173"/>
      <c r="AV284" s="127" t="s">
        <v>20</v>
      </c>
      <c r="AW284" s="15" t="s">
        <v>543</v>
      </c>
      <c r="AX284" s="268">
        <f>AY284</f>
        <v>45661</v>
      </c>
      <c r="AY284" s="268">
        <v>45661</v>
      </c>
      <c r="AZ284" s="172" t="s">
        <v>538</v>
      </c>
      <c r="BA284" s="173"/>
      <c r="BB284" s="127" t="s">
        <v>20</v>
      </c>
      <c r="BC284" s="121"/>
      <c r="BD284" s="121" t="s">
        <v>21</v>
      </c>
      <c r="BE284" s="269">
        <f>BF284-1</f>
        <v>45679</v>
      </c>
      <c r="BF284" s="269">
        <v>45680</v>
      </c>
      <c r="BG284" s="17" t="s">
        <v>505</v>
      </c>
      <c r="BH284" s="177"/>
      <c r="BI284" s="127" t="s">
        <v>20</v>
      </c>
      <c r="BJ284" s="121">
        <f>BK284-2</f>
        <v>45772</v>
      </c>
      <c r="BK284" s="121">
        <v>45774</v>
      </c>
      <c r="BL284" s="25">
        <v>1330</v>
      </c>
      <c r="BM284" s="24" t="s">
        <v>586</v>
      </c>
    </row>
    <row r="285" spans="1:65" ht="14.25" customHeight="1">
      <c r="A285" s="15" t="s">
        <v>0</v>
      </c>
      <c r="B285" s="19"/>
      <c r="C285" s="169"/>
      <c r="D285" s="120"/>
      <c r="E285" s="120"/>
      <c r="F285" s="120"/>
      <c r="G285" s="120"/>
      <c r="H285" s="170"/>
      <c r="I285" s="19"/>
      <c r="J285" s="19"/>
      <c r="K285" s="171"/>
      <c r="L285" s="163"/>
      <c r="M285" s="15"/>
      <c r="N285" s="15"/>
      <c r="O285" s="15"/>
      <c r="P285" s="165"/>
      <c r="Q285" s="163"/>
      <c r="R285" s="15"/>
      <c r="S285" s="165"/>
      <c r="T285" s="188"/>
      <c r="U285" s="188"/>
      <c r="V285" s="16">
        <v>323.74</v>
      </c>
      <c r="W285" s="15" t="s">
        <v>585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67"/>
      <c r="AM285" s="15"/>
      <c r="AN285" s="24"/>
      <c r="AO285" s="24"/>
      <c r="AP285" s="24"/>
      <c r="AQ285" s="24"/>
      <c r="AR285" s="24"/>
      <c r="AS285" s="25"/>
      <c r="AT285" s="25"/>
      <c r="AU285" s="168"/>
      <c r="AV285" s="15"/>
      <c r="AW285" s="24"/>
      <c r="AX285" s="268"/>
      <c r="AY285" s="268"/>
      <c r="AZ285" s="24"/>
      <c r="BA285" s="168"/>
      <c r="BB285" s="24"/>
      <c r="BC285" s="24"/>
      <c r="BD285" s="24"/>
      <c r="BE285" s="24"/>
      <c r="BF285" s="24"/>
      <c r="BG285" s="24"/>
      <c r="BH285" s="16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69" t="s">
        <v>42</v>
      </c>
      <c r="D286" s="120">
        <v>6.3620000000000001</v>
      </c>
      <c r="E286" s="120">
        <f>D286*4</f>
        <v>25.448</v>
      </c>
      <c r="F286" s="120">
        <f>E286*8</f>
        <v>203.584</v>
      </c>
      <c r="G286" s="120"/>
      <c r="H286" s="170"/>
      <c r="I286" s="19"/>
      <c r="J286" s="19"/>
      <c r="K286" s="171"/>
      <c r="L286" s="163">
        <v>2.25</v>
      </c>
      <c r="M286" s="15">
        <v>2.1880000000000002</v>
      </c>
      <c r="N286" s="15">
        <v>2E-3</v>
      </c>
      <c r="O286" s="15">
        <v>0.183</v>
      </c>
      <c r="P286" s="165">
        <f t="shared" si="93"/>
        <v>4.6230000000000002</v>
      </c>
      <c r="Q286" s="163">
        <v>0.24399999999999999</v>
      </c>
      <c r="R286" s="15">
        <v>5.0000000000000001E-3</v>
      </c>
      <c r="S286" s="165">
        <f t="shared" si="94"/>
        <v>0.249</v>
      </c>
      <c r="T286" s="188"/>
      <c r="U286" s="166" t="s">
        <v>535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67"/>
      <c r="AM286" s="127" t="s">
        <v>20</v>
      </c>
      <c r="AN286" s="121" t="str">
        <f>AO286</f>
        <v>D</v>
      </c>
      <c r="AO286" s="121" t="s">
        <v>21</v>
      </c>
      <c r="AP286" s="338">
        <f t="shared" ref="AP286:AQ286" si="100">AQ286-2</f>
        <v>45613</v>
      </c>
      <c r="AQ286" s="338">
        <f t="shared" si="100"/>
        <v>45615</v>
      </c>
      <c r="AR286" s="338">
        <f>AS286-3</f>
        <v>45617</v>
      </c>
      <c r="AS286" s="507">
        <v>45620</v>
      </c>
      <c r="AT286" s="25" t="s">
        <v>538</v>
      </c>
      <c r="AU286" s="173"/>
      <c r="AV286" s="127" t="s">
        <v>20</v>
      </c>
      <c r="AW286" s="15" t="s">
        <v>543</v>
      </c>
      <c r="AX286" s="268">
        <v>45667</v>
      </c>
      <c r="AY286" s="268">
        <v>45667</v>
      </c>
      <c r="AZ286" s="172" t="s">
        <v>538</v>
      </c>
      <c r="BA286" s="173"/>
      <c r="BB286" s="127" t="s">
        <v>20</v>
      </c>
      <c r="BC286" s="121"/>
      <c r="BD286" s="121" t="s">
        <v>21</v>
      </c>
      <c r="BE286" s="269">
        <f>BF286-1</f>
        <v>45681</v>
      </c>
      <c r="BF286" s="269">
        <v>45682</v>
      </c>
      <c r="BG286" s="17" t="s">
        <v>505</v>
      </c>
      <c r="BH286" s="177"/>
      <c r="BI286" s="127" t="s">
        <v>20</v>
      </c>
      <c r="BJ286" s="121">
        <f>BK286-2</f>
        <v>45772</v>
      </c>
      <c r="BK286" s="121">
        <v>45774</v>
      </c>
      <c r="BL286" s="25">
        <v>980</v>
      </c>
      <c r="BM286" s="24" t="s">
        <v>586</v>
      </c>
    </row>
    <row r="287" spans="1:65" ht="14.25" customHeight="1">
      <c r="A287" s="15" t="s">
        <v>0</v>
      </c>
      <c r="B287" s="19"/>
      <c r="C287" s="169"/>
      <c r="D287" s="120"/>
      <c r="E287" s="120"/>
      <c r="F287" s="120"/>
      <c r="G287" s="120"/>
      <c r="H287" s="170"/>
      <c r="I287" s="19"/>
      <c r="J287" s="19"/>
      <c r="K287" s="171"/>
      <c r="L287" s="163"/>
      <c r="M287" s="15"/>
      <c r="N287" s="15"/>
      <c r="O287" s="15"/>
      <c r="P287" s="165"/>
      <c r="Q287" s="163"/>
      <c r="R287" s="15"/>
      <c r="S287" s="165"/>
      <c r="T287" s="188"/>
      <c r="U287" s="188"/>
      <c r="V287" s="16">
        <v>328.78</v>
      </c>
      <c r="W287" s="15" t="s">
        <v>585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67"/>
      <c r="AM287" s="15"/>
      <c r="AN287" s="24"/>
      <c r="AO287" s="24"/>
      <c r="AP287" s="24"/>
      <c r="AQ287" s="24"/>
      <c r="AR287" s="24"/>
      <c r="AS287" s="25"/>
      <c r="AT287" s="25"/>
      <c r="AU287" s="168"/>
      <c r="AV287" s="15"/>
      <c r="AW287" s="24"/>
      <c r="AX287" s="268"/>
      <c r="AY287" s="268"/>
      <c r="AZ287" s="24"/>
      <c r="BA287" s="168"/>
      <c r="BB287" s="24"/>
      <c r="BC287" s="24"/>
      <c r="BD287" s="24"/>
      <c r="BE287" s="24"/>
      <c r="BF287" s="24"/>
      <c r="BG287" s="24"/>
      <c r="BH287" s="16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69" t="s">
        <v>42</v>
      </c>
      <c r="D288" s="120">
        <v>6.3620000000000001</v>
      </c>
      <c r="E288" s="120">
        <f>D288*4</f>
        <v>25.448</v>
      </c>
      <c r="F288" s="120">
        <f>E288*8</f>
        <v>203.584</v>
      </c>
      <c r="G288" s="120"/>
      <c r="H288" s="170"/>
      <c r="I288" s="19"/>
      <c r="J288" s="19"/>
      <c r="K288" s="171"/>
      <c r="L288" s="163">
        <v>2.25</v>
      </c>
      <c r="M288" s="15">
        <v>2.1880000000000002</v>
      </c>
      <c r="N288" s="15">
        <v>2E-3</v>
      </c>
      <c r="O288" s="15">
        <v>0.183</v>
      </c>
      <c r="P288" s="165">
        <f t="shared" si="93"/>
        <v>4.6230000000000002</v>
      </c>
      <c r="Q288" s="163">
        <v>0.24399999999999999</v>
      </c>
      <c r="R288" s="15">
        <v>5.0000000000000001E-3</v>
      </c>
      <c r="S288" s="165">
        <f t="shared" si="94"/>
        <v>0.249</v>
      </c>
      <c r="T288" s="188"/>
      <c r="U288" s="166" t="s">
        <v>535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67"/>
      <c r="AM288" s="127" t="s">
        <v>20</v>
      </c>
      <c r="AN288" s="121" t="str">
        <f>AO288</f>
        <v>D</v>
      </c>
      <c r="AO288" s="121" t="s">
        <v>21</v>
      </c>
      <c r="AP288" s="338">
        <v>45589</v>
      </c>
      <c r="AQ288" s="338">
        <f>AR288-5</f>
        <v>45609</v>
      </c>
      <c r="AR288" s="338">
        <f>AS288-3</f>
        <v>45614</v>
      </c>
      <c r="AS288" s="507">
        <v>45617</v>
      </c>
      <c r="AT288" s="25" t="s">
        <v>584</v>
      </c>
      <c r="AU288" s="173"/>
      <c r="AV288" s="127" t="s">
        <v>20</v>
      </c>
      <c r="AW288" s="15" t="s">
        <v>543</v>
      </c>
      <c r="AX288" s="268">
        <f>AY288</f>
        <v>45662</v>
      </c>
      <c r="AY288" s="268">
        <v>45662</v>
      </c>
      <c r="AZ288" s="172" t="s">
        <v>538</v>
      </c>
      <c r="BA288" s="173"/>
      <c r="BB288" s="127" t="s">
        <v>20</v>
      </c>
      <c r="BC288" s="121"/>
      <c r="BD288" s="121" t="s">
        <v>21</v>
      </c>
      <c r="BE288" s="269">
        <f>BF288-1</f>
        <v>45786</v>
      </c>
      <c r="BF288" s="269">
        <v>45787</v>
      </c>
      <c r="BG288" s="17" t="s">
        <v>505</v>
      </c>
      <c r="BH288" s="178"/>
      <c r="BI288" s="127" t="s">
        <v>20</v>
      </c>
      <c r="BJ288" s="121">
        <f>BK288-2</f>
        <v>45772</v>
      </c>
      <c r="BK288" s="121">
        <v>45774</v>
      </c>
      <c r="BL288" s="25">
        <v>980</v>
      </c>
      <c r="BM288" s="24" t="s">
        <v>586</v>
      </c>
    </row>
    <row r="289" spans="1:65" ht="14.25" customHeight="1">
      <c r="A289" s="15" t="s">
        <v>0</v>
      </c>
      <c r="B289" s="19"/>
      <c r="C289" s="169"/>
      <c r="D289" s="120"/>
      <c r="E289" s="120"/>
      <c r="F289" s="120"/>
      <c r="G289" s="120"/>
      <c r="H289" s="170"/>
      <c r="I289" s="19"/>
      <c r="J289" s="19"/>
      <c r="K289" s="171"/>
      <c r="L289" s="163"/>
      <c r="M289" s="15"/>
      <c r="N289" s="15"/>
      <c r="O289" s="15"/>
      <c r="P289" s="165"/>
      <c r="Q289" s="163"/>
      <c r="R289" s="15"/>
      <c r="S289" s="165"/>
      <c r="T289" s="188"/>
      <c r="U289" s="188"/>
      <c r="V289" s="16">
        <v>266</v>
      </c>
      <c r="W289" s="15" t="s">
        <v>585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67"/>
      <c r="AM289" s="15"/>
      <c r="AN289" s="24"/>
      <c r="AO289" s="24"/>
      <c r="AP289" s="24"/>
      <c r="AQ289" s="24"/>
      <c r="AR289" s="24"/>
      <c r="AS289" s="25"/>
      <c r="AT289" s="25"/>
      <c r="AU289" s="168"/>
      <c r="AV289" s="15"/>
      <c r="AW289" s="24"/>
      <c r="AX289" s="268"/>
      <c r="AY289" s="268"/>
      <c r="AZ289" s="24"/>
      <c r="BA289" s="168"/>
      <c r="BB289" s="24"/>
      <c r="BC289" s="24"/>
      <c r="BD289" s="24"/>
      <c r="BE289" s="24"/>
      <c r="BF289" s="24"/>
      <c r="BG289" s="24"/>
      <c r="BH289" s="16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69" t="s">
        <v>76</v>
      </c>
      <c r="D290" s="120">
        <v>7.71</v>
      </c>
      <c r="E290" s="120">
        <f>D290*4</f>
        <v>30.84</v>
      </c>
      <c r="F290" s="120">
        <f>E290*8</f>
        <v>246.72</v>
      </c>
      <c r="G290" s="120"/>
      <c r="H290" s="170"/>
      <c r="I290" s="19"/>
      <c r="J290" s="19"/>
      <c r="K290" s="171"/>
      <c r="L290" s="163">
        <v>3.452</v>
      </c>
      <c r="M290" s="15">
        <v>2.633</v>
      </c>
      <c r="N290" s="15">
        <v>4.0000000000000001E-3</v>
      </c>
      <c r="O290" s="15">
        <v>0.24099999999999999</v>
      </c>
      <c r="P290" s="165">
        <f t="shared" si="93"/>
        <v>6.3299999999999992</v>
      </c>
      <c r="Q290" s="163">
        <v>0.36299999999999999</v>
      </c>
      <c r="R290" s="15">
        <v>6.0000000000000001E-3</v>
      </c>
      <c r="S290" s="165">
        <f t="shared" si="94"/>
        <v>0.36899999999999999</v>
      </c>
      <c r="T290" s="188" t="s">
        <v>220</v>
      </c>
      <c r="U290" s="166" t="s">
        <v>535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67"/>
      <c r="AM290" s="127" t="s">
        <v>20</v>
      </c>
      <c r="AN290" s="121" t="str">
        <f>AO290</f>
        <v>D</v>
      </c>
      <c r="AO290" s="121" t="s">
        <v>21</v>
      </c>
      <c r="AP290" s="338">
        <v>45602</v>
      </c>
      <c r="AQ290" s="338">
        <f t="shared" ref="AQ290:AR290" si="101">AR290-2</f>
        <v>45604</v>
      </c>
      <c r="AR290" s="338">
        <f t="shared" si="101"/>
        <v>45606</v>
      </c>
      <c r="AS290" s="507">
        <v>45608</v>
      </c>
      <c r="AT290" s="25" t="s">
        <v>588</v>
      </c>
      <c r="AU290" s="173"/>
      <c r="AV290" s="127" t="s">
        <v>20</v>
      </c>
      <c r="AW290" s="15" t="s">
        <v>543</v>
      </c>
      <c r="AX290" s="268">
        <f>AY290</f>
        <v>45659</v>
      </c>
      <c r="AY290" s="268">
        <v>45659</v>
      </c>
      <c r="AZ290" s="172" t="s">
        <v>538</v>
      </c>
      <c r="BA290" s="173"/>
      <c r="BB290" s="127" t="s">
        <v>20</v>
      </c>
      <c r="BC290" s="121"/>
      <c r="BD290" s="121" t="s">
        <v>21</v>
      </c>
      <c r="BE290" s="269">
        <f>BF290-2</f>
        <v>45714</v>
      </c>
      <c r="BF290" s="269">
        <v>45716</v>
      </c>
      <c r="BG290" s="17" t="s">
        <v>577</v>
      </c>
      <c r="BH290" s="178"/>
      <c r="BI290" s="127" t="s">
        <v>20</v>
      </c>
      <c r="BJ290" s="121">
        <v>45780</v>
      </c>
      <c r="BK290" s="121">
        <v>45780</v>
      </c>
      <c r="BL290" s="25">
        <v>1252</v>
      </c>
      <c r="BM290" s="24" t="s">
        <v>586</v>
      </c>
    </row>
    <row r="291" spans="1:65" ht="14.25" customHeight="1">
      <c r="A291" s="15" t="s">
        <v>0</v>
      </c>
      <c r="B291" s="19"/>
      <c r="C291" s="169"/>
      <c r="D291" s="120"/>
      <c r="E291" s="120"/>
      <c r="F291" s="120"/>
      <c r="G291" s="120"/>
      <c r="H291" s="170"/>
      <c r="I291" s="19"/>
      <c r="J291" s="19"/>
      <c r="K291" s="171"/>
      <c r="L291" s="163"/>
      <c r="M291" s="15"/>
      <c r="N291" s="15"/>
      <c r="O291" s="15"/>
      <c r="P291" s="165"/>
      <c r="Q291" s="163"/>
      <c r="R291" s="15"/>
      <c r="S291" s="165"/>
      <c r="T291" s="188"/>
      <c r="U291" s="188"/>
      <c r="V291" s="16">
        <v>321.89</v>
      </c>
      <c r="W291" s="15" t="s">
        <v>541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67"/>
      <c r="AM291" s="15"/>
      <c r="AN291" s="24"/>
      <c r="AO291" s="24"/>
      <c r="AP291" s="24"/>
      <c r="AQ291" s="24"/>
      <c r="AR291" s="24"/>
      <c r="AS291" s="25"/>
      <c r="AT291" s="25"/>
      <c r="AU291" s="168"/>
      <c r="AV291" s="15"/>
      <c r="AW291" s="24"/>
      <c r="AX291" s="268"/>
      <c r="AY291" s="268"/>
      <c r="AZ291" s="24"/>
      <c r="BA291" s="168"/>
      <c r="BB291" s="24"/>
      <c r="BC291" s="24"/>
      <c r="BD291" s="24"/>
      <c r="BE291" s="24"/>
      <c r="BF291" s="24"/>
      <c r="BG291" s="24"/>
      <c r="BH291" s="16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69" t="s">
        <v>42</v>
      </c>
      <c r="D292" s="120">
        <v>6.3620000000000001</v>
      </c>
      <c r="E292" s="120">
        <f>D292*4</f>
        <v>25.448</v>
      </c>
      <c r="F292" s="120">
        <f>E292*8</f>
        <v>203.584</v>
      </c>
      <c r="G292" s="120"/>
      <c r="H292" s="170"/>
      <c r="I292" s="19"/>
      <c r="J292" s="19"/>
      <c r="K292" s="171"/>
      <c r="L292" s="163">
        <v>2.25</v>
      </c>
      <c r="M292" s="15">
        <v>2.1880000000000002</v>
      </c>
      <c r="N292" s="15">
        <v>2E-3</v>
      </c>
      <c r="O292" s="15">
        <v>0.183</v>
      </c>
      <c r="P292" s="165">
        <f t="shared" si="93"/>
        <v>4.6230000000000002</v>
      </c>
      <c r="Q292" s="163">
        <v>0.24399999999999999</v>
      </c>
      <c r="R292" s="15">
        <v>5.0000000000000001E-3</v>
      </c>
      <c r="S292" s="165">
        <f t="shared" si="94"/>
        <v>0.249</v>
      </c>
      <c r="T292" s="188"/>
      <c r="U292" s="166" t="s">
        <v>535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67"/>
      <c r="AM292" s="127" t="s">
        <v>20</v>
      </c>
      <c r="AN292" s="121" t="str">
        <f>AO292</f>
        <v>D</v>
      </c>
      <c r="AO292" s="121" t="s">
        <v>21</v>
      </c>
      <c r="AP292" s="338">
        <v>45598</v>
      </c>
      <c r="AQ292" s="338">
        <f t="shared" ref="AQ292:AR292" si="102">AR292-2</f>
        <v>45600</v>
      </c>
      <c r="AR292" s="338">
        <f t="shared" si="102"/>
        <v>45602</v>
      </c>
      <c r="AS292" s="507">
        <v>45604</v>
      </c>
      <c r="AT292" s="25" t="s">
        <v>588</v>
      </c>
      <c r="AU292" s="173"/>
      <c r="AV292" s="127" t="s">
        <v>20</v>
      </c>
      <c r="AW292" s="15" t="s">
        <v>543</v>
      </c>
      <c r="AX292" s="268">
        <f>AY292</f>
        <v>45659</v>
      </c>
      <c r="AY292" s="268">
        <v>45659</v>
      </c>
      <c r="AZ292" s="172" t="s">
        <v>538</v>
      </c>
      <c r="BA292" s="173"/>
      <c r="BB292" s="127" t="s">
        <v>20</v>
      </c>
      <c r="BC292" s="121"/>
      <c r="BD292" s="121" t="s">
        <v>21</v>
      </c>
      <c r="BE292" s="269">
        <f>BF292-2</f>
        <v>45709</v>
      </c>
      <c r="BF292" s="269">
        <v>45711</v>
      </c>
      <c r="BG292" s="17" t="s">
        <v>577</v>
      </c>
      <c r="BH292" s="178"/>
      <c r="BI292" s="127" t="s">
        <v>20</v>
      </c>
      <c r="BJ292" s="121">
        <v>45780</v>
      </c>
      <c r="BK292" s="121">
        <v>45780</v>
      </c>
      <c r="BL292" s="25">
        <v>980</v>
      </c>
      <c r="BM292" s="24" t="s">
        <v>586</v>
      </c>
    </row>
    <row r="293" spans="1:65" ht="14.25" customHeight="1">
      <c r="A293" s="15" t="s">
        <v>0</v>
      </c>
      <c r="B293" s="19"/>
      <c r="C293" s="169"/>
      <c r="D293" s="120"/>
      <c r="E293" s="120"/>
      <c r="F293" s="120"/>
      <c r="G293" s="120"/>
      <c r="H293" s="170"/>
      <c r="I293" s="19"/>
      <c r="J293" s="19"/>
      <c r="K293" s="171"/>
      <c r="L293" s="163"/>
      <c r="M293" s="15"/>
      <c r="N293" s="15"/>
      <c r="O293" s="15"/>
      <c r="P293" s="165"/>
      <c r="Q293" s="163"/>
      <c r="R293" s="15"/>
      <c r="S293" s="165"/>
      <c r="T293" s="188"/>
      <c r="U293" s="188"/>
      <c r="V293" s="16">
        <v>352.14</v>
      </c>
      <c r="W293" s="15" t="s">
        <v>591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67"/>
      <c r="AM293" s="15"/>
      <c r="AN293" s="24"/>
      <c r="AO293" s="24"/>
      <c r="AP293" s="24"/>
      <c r="AQ293" s="24"/>
      <c r="AR293" s="24"/>
      <c r="AS293" s="25"/>
      <c r="AT293" s="25"/>
      <c r="AU293" s="168"/>
      <c r="AV293" s="15"/>
      <c r="AW293" s="24"/>
      <c r="AX293" s="268"/>
      <c r="AY293" s="268"/>
      <c r="AZ293" s="24"/>
      <c r="BA293" s="168"/>
      <c r="BB293" s="24"/>
      <c r="BC293" s="24"/>
      <c r="BD293" s="24"/>
      <c r="BE293" s="24"/>
      <c r="BF293" s="24"/>
      <c r="BG293" s="24"/>
      <c r="BH293" s="16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69" t="s">
        <v>37</v>
      </c>
      <c r="D294" s="120">
        <v>6.992</v>
      </c>
      <c r="E294" s="120">
        <f>D294*4</f>
        <v>27.968</v>
      </c>
      <c r="F294" s="120">
        <f>E294*8</f>
        <v>223.744</v>
      </c>
      <c r="G294" s="120"/>
      <c r="H294" s="170"/>
      <c r="I294" s="19"/>
      <c r="J294" s="19"/>
      <c r="K294" s="171"/>
      <c r="L294" s="163">
        <v>2.6070000000000002</v>
      </c>
      <c r="M294" s="15">
        <v>2.657</v>
      </c>
      <c r="N294" s="15">
        <v>2E-3</v>
      </c>
      <c r="O294" s="15">
        <v>0.21299999999999999</v>
      </c>
      <c r="P294" s="165">
        <f t="shared" si="93"/>
        <v>5.4790000000000001</v>
      </c>
      <c r="Q294" s="163">
        <v>0.24399999999999999</v>
      </c>
      <c r="R294" s="15">
        <v>5.0000000000000001E-3</v>
      </c>
      <c r="S294" s="165">
        <f t="shared" si="94"/>
        <v>0.249</v>
      </c>
      <c r="T294" s="188"/>
      <c r="U294" s="166" t="s">
        <v>535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67"/>
      <c r="AM294" s="127" t="s">
        <v>20</v>
      </c>
      <c r="AN294" s="121" t="str">
        <f>AO294</f>
        <v>D</v>
      </c>
      <c r="AO294" s="121" t="s">
        <v>21</v>
      </c>
      <c r="AP294" s="338">
        <v>45596</v>
      </c>
      <c r="AQ294" s="338">
        <v>45597</v>
      </c>
      <c r="AR294" s="338">
        <v>45599</v>
      </c>
      <c r="AS294" s="507">
        <v>45601</v>
      </c>
      <c r="AT294" s="25" t="s">
        <v>588</v>
      </c>
      <c r="AU294" s="173"/>
      <c r="AV294" s="127" t="s">
        <v>20</v>
      </c>
      <c r="AW294" s="15" t="s">
        <v>543</v>
      </c>
      <c r="AX294" s="268">
        <f>AY294</f>
        <v>45659</v>
      </c>
      <c r="AY294" s="268">
        <v>45659</v>
      </c>
      <c r="AZ294" s="172" t="s">
        <v>538</v>
      </c>
      <c r="BA294" s="173"/>
      <c r="BB294" s="127" t="s">
        <v>20</v>
      </c>
      <c r="BC294" s="121"/>
      <c r="BD294" s="121" t="s">
        <v>21</v>
      </c>
      <c r="BE294" s="269">
        <f>BF294-2</f>
        <v>45711</v>
      </c>
      <c r="BF294" s="269">
        <v>45713</v>
      </c>
      <c r="BG294" s="17" t="s">
        <v>577</v>
      </c>
      <c r="BH294" s="178"/>
      <c r="BI294" s="127" t="s">
        <v>20</v>
      </c>
      <c r="BJ294" s="121">
        <v>45780</v>
      </c>
      <c r="BK294" s="121">
        <v>45780</v>
      </c>
      <c r="BL294" s="25">
        <v>1330</v>
      </c>
      <c r="BM294" s="24" t="s">
        <v>586</v>
      </c>
    </row>
    <row r="295" spans="1:65" ht="14.25" customHeight="1">
      <c r="A295" s="15" t="s">
        <v>0</v>
      </c>
      <c r="B295" s="19"/>
      <c r="C295" s="169"/>
      <c r="D295" s="120"/>
      <c r="E295" s="120"/>
      <c r="F295" s="120"/>
      <c r="G295" s="120"/>
      <c r="H295" s="170"/>
      <c r="I295" s="19"/>
      <c r="J295" s="19"/>
      <c r="K295" s="171"/>
      <c r="L295" s="163"/>
      <c r="M295" s="15"/>
      <c r="N295" s="15"/>
      <c r="O295" s="15"/>
      <c r="P295" s="165"/>
      <c r="Q295" s="163"/>
      <c r="R295" s="15"/>
      <c r="S295" s="165"/>
      <c r="T295" s="188"/>
      <c r="U295" s="188"/>
      <c r="V295" s="16">
        <v>347.32</v>
      </c>
      <c r="W295" s="15" t="s">
        <v>565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67"/>
      <c r="AM295" s="15"/>
      <c r="AN295" s="24"/>
      <c r="AO295" s="24"/>
      <c r="AP295" s="24"/>
      <c r="AQ295" s="24"/>
      <c r="AR295" s="24"/>
      <c r="AS295" s="124"/>
      <c r="AT295" s="25"/>
      <c r="AU295" s="168"/>
      <c r="AV295" s="15"/>
      <c r="AW295" s="24"/>
      <c r="AX295" s="268"/>
      <c r="AY295" s="268"/>
      <c r="AZ295" s="24"/>
      <c r="BA295" s="168"/>
      <c r="BB295" s="24"/>
      <c r="BC295" s="24"/>
      <c r="BD295" s="24"/>
      <c r="BE295" s="24"/>
      <c r="BF295" s="24"/>
      <c r="BG295" s="24"/>
      <c r="BH295" s="16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69" t="s">
        <v>42</v>
      </c>
      <c r="D296" s="120">
        <v>6.3620000000000001</v>
      </c>
      <c r="E296" s="120">
        <f>D296*4</f>
        <v>25.448</v>
      </c>
      <c r="F296" s="120">
        <f>E296*8</f>
        <v>203.584</v>
      </c>
      <c r="G296" s="120"/>
      <c r="H296" s="170"/>
      <c r="I296" s="19"/>
      <c r="J296" s="19"/>
      <c r="K296" s="171"/>
      <c r="L296" s="163">
        <v>2.25</v>
      </c>
      <c r="M296" s="15">
        <v>2.1880000000000002</v>
      </c>
      <c r="N296" s="15">
        <v>2E-3</v>
      </c>
      <c r="O296" s="15">
        <v>0.183</v>
      </c>
      <c r="P296" s="165">
        <f t="shared" si="93"/>
        <v>4.6230000000000002</v>
      </c>
      <c r="Q296" s="163">
        <v>0.24399999999999999</v>
      </c>
      <c r="R296" s="15">
        <v>5.0000000000000001E-3</v>
      </c>
      <c r="S296" s="165">
        <f t="shared" si="94"/>
        <v>0.249</v>
      </c>
      <c r="T296" s="188"/>
      <c r="U296" s="166" t="s">
        <v>535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67"/>
      <c r="AM296" s="127" t="s">
        <v>20</v>
      </c>
      <c r="AN296" s="121" t="str">
        <f>AO296</f>
        <v>D</v>
      </c>
      <c r="AO296" s="121" t="s">
        <v>21</v>
      </c>
      <c r="AP296" s="338">
        <v>45587</v>
      </c>
      <c r="AQ296" s="338">
        <v>45588</v>
      </c>
      <c r="AR296" s="338">
        <v>45589</v>
      </c>
      <c r="AS296" s="507">
        <v>45591</v>
      </c>
      <c r="AT296" s="25" t="s">
        <v>588</v>
      </c>
      <c r="AU296" s="173"/>
      <c r="AV296" s="127" t="s">
        <v>20</v>
      </c>
      <c r="AW296" s="15" t="s">
        <v>543</v>
      </c>
      <c r="AX296" s="268">
        <f>AY296</f>
        <v>45659</v>
      </c>
      <c r="AY296" s="268">
        <v>45659</v>
      </c>
      <c r="AZ296" s="172" t="s">
        <v>538</v>
      </c>
      <c r="BA296" s="173"/>
      <c r="BB296" s="127" t="s">
        <v>20</v>
      </c>
      <c r="BC296" s="121"/>
      <c r="BD296" s="121" t="s">
        <v>21</v>
      </c>
      <c r="BE296" s="269">
        <f>BF296-2</f>
        <v>45716</v>
      </c>
      <c r="BF296" s="269">
        <v>45718</v>
      </c>
      <c r="BG296" s="17" t="s">
        <v>577</v>
      </c>
      <c r="BH296" s="178"/>
      <c r="BI296" s="127" t="s">
        <v>20</v>
      </c>
      <c r="BJ296" s="121">
        <v>45780</v>
      </c>
      <c r="BK296" s="121">
        <v>45780</v>
      </c>
      <c r="BL296" s="25">
        <v>980</v>
      </c>
      <c r="BM296" s="24" t="s">
        <v>586</v>
      </c>
    </row>
    <row r="297" spans="1:65" ht="14.25" customHeight="1">
      <c r="A297" s="15" t="s">
        <v>0</v>
      </c>
      <c r="B297" s="19"/>
      <c r="C297" s="169"/>
      <c r="D297" s="120"/>
      <c r="E297" s="120"/>
      <c r="F297" s="120"/>
      <c r="G297" s="120"/>
      <c r="H297" s="170"/>
      <c r="I297" s="19"/>
      <c r="J297" s="19"/>
      <c r="K297" s="171"/>
      <c r="L297" s="163"/>
      <c r="M297" s="15"/>
      <c r="N297" s="15"/>
      <c r="O297" s="15"/>
      <c r="P297" s="165"/>
      <c r="Q297" s="163"/>
      <c r="R297" s="15"/>
      <c r="S297" s="165"/>
      <c r="T297" s="188"/>
      <c r="U297" s="188"/>
      <c r="V297" s="16">
        <v>339.42</v>
      </c>
      <c r="W297" s="15" t="s">
        <v>565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67"/>
      <c r="AM297" s="15"/>
      <c r="AN297" s="24"/>
      <c r="AO297" s="24"/>
      <c r="AP297" s="24"/>
      <c r="AQ297" s="24"/>
      <c r="AR297" s="24"/>
      <c r="AS297" s="25"/>
      <c r="AT297" s="25"/>
      <c r="AU297" s="168"/>
      <c r="AV297" s="15"/>
      <c r="AW297" s="24"/>
      <c r="AX297" s="268"/>
      <c r="AY297" s="268"/>
      <c r="AZ297" s="24"/>
      <c r="BA297" s="168"/>
      <c r="BB297" s="24"/>
      <c r="BC297" s="24"/>
      <c r="BD297" s="24"/>
      <c r="BE297" s="24"/>
      <c r="BF297" s="24"/>
      <c r="BG297" s="24"/>
      <c r="BH297" s="16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69" t="s">
        <v>42</v>
      </c>
      <c r="D298" s="120">
        <v>6.3620000000000001</v>
      </c>
      <c r="E298" s="120">
        <f>D298*4</f>
        <v>25.448</v>
      </c>
      <c r="F298" s="120">
        <f>E298*8</f>
        <v>203.584</v>
      </c>
      <c r="G298" s="120"/>
      <c r="H298" s="170"/>
      <c r="I298" s="19"/>
      <c r="J298" s="19"/>
      <c r="K298" s="171"/>
      <c r="L298" s="163">
        <v>2.25</v>
      </c>
      <c r="M298" s="15">
        <v>2.1880000000000002</v>
      </c>
      <c r="N298" s="15">
        <v>2E-3</v>
      </c>
      <c r="O298" s="15">
        <v>0.183</v>
      </c>
      <c r="P298" s="165">
        <f t="shared" si="93"/>
        <v>4.6230000000000002</v>
      </c>
      <c r="Q298" s="163">
        <v>0.24399999999999999</v>
      </c>
      <c r="R298" s="15">
        <v>5.0000000000000001E-3</v>
      </c>
      <c r="S298" s="165">
        <f t="shared" si="94"/>
        <v>0.249</v>
      </c>
      <c r="T298" s="188"/>
      <c r="U298" s="166" t="s">
        <v>535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67"/>
      <c r="AM298" s="127" t="s">
        <v>20</v>
      </c>
      <c r="AN298" s="121" t="str">
        <f>AO298</f>
        <v>D</v>
      </c>
      <c r="AO298" s="121" t="s">
        <v>21</v>
      </c>
      <c r="AP298" s="338">
        <v>45591</v>
      </c>
      <c r="AQ298" s="338">
        <v>45592</v>
      </c>
      <c r="AR298" s="338">
        <v>45594</v>
      </c>
      <c r="AS298" s="507">
        <v>45595</v>
      </c>
      <c r="AT298" s="25" t="s">
        <v>588</v>
      </c>
      <c r="AU298" s="173"/>
      <c r="AV298" s="127" t="s">
        <v>20</v>
      </c>
      <c r="AW298" s="15" t="s">
        <v>543</v>
      </c>
      <c r="AX298" s="268">
        <f>AY298</f>
        <v>45659</v>
      </c>
      <c r="AY298" s="268">
        <v>45659</v>
      </c>
      <c r="AZ298" s="172" t="s">
        <v>538</v>
      </c>
      <c r="BA298" s="173"/>
      <c r="BB298" s="127" t="s">
        <v>20</v>
      </c>
      <c r="BC298" s="121"/>
      <c r="BD298" s="121" t="s">
        <v>21</v>
      </c>
      <c r="BE298" s="269">
        <f>BF298-2</f>
        <v>45718</v>
      </c>
      <c r="BF298" s="269">
        <v>45720</v>
      </c>
      <c r="BG298" s="17" t="s">
        <v>577</v>
      </c>
      <c r="BH298" s="178"/>
      <c r="BI298" s="127" t="s">
        <v>20</v>
      </c>
      <c r="BJ298" s="121">
        <v>45780</v>
      </c>
      <c r="BK298" s="121">
        <v>45780</v>
      </c>
      <c r="BL298" s="25">
        <v>980</v>
      </c>
      <c r="BM298" s="24" t="s">
        <v>586</v>
      </c>
    </row>
    <row r="299" spans="1:65" ht="14.25" customHeight="1">
      <c r="A299" s="15" t="s">
        <v>0</v>
      </c>
      <c r="B299" s="19"/>
      <c r="C299" s="169"/>
      <c r="D299" s="120"/>
      <c r="E299" s="120"/>
      <c r="F299" s="120"/>
      <c r="G299" s="120"/>
      <c r="H299" s="170"/>
      <c r="I299" s="19"/>
      <c r="J299" s="19"/>
      <c r="K299" s="171"/>
      <c r="L299" s="163"/>
      <c r="M299" s="15"/>
      <c r="N299" s="15"/>
      <c r="O299" s="15"/>
      <c r="P299" s="165"/>
      <c r="Q299" s="163"/>
      <c r="R299" s="15"/>
      <c r="S299" s="165"/>
      <c r="T299" s="188"/>
      <c r="U299" s="188"/>
      <c r="V299" s="16">
        <v>330.88</v>
      </c>
      <c r="W299" s="15" t="s">
        <v>565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67"/>
      <c r="AM299" s="15"/>
      <c r="AN299" s="24"/>
      <c r="AO299" s="24"/>
      <c r="AP299" s="24"/>
      <c r="AQ299" s="24"/>
      <c r="AR299" s="24"/>
      <c r="AS299" s="25"/>
      <c r="AT299" s="25"/>
      <c r="AU299" s="168"/>
      <c r="AV299" s="15"/>
      <c r="AW299" s="24"/>
      <c r="AX299" s="268"/>
      <c r="AY299" s="268"/>
      <c r="AZ299" s="24"/>
      <c r="BA299" s="168"/>
      <c r="BB299" s="24"/>
      <c r="BC299" s="24"/>
      <c r="BD299" s="24"/>
      <c r="BE299" s="24"/>
      <c r="BF299" s="24"/>
      <c r="BG299" s="24"/>
      <c r="BH299" s="16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69" t="s">
        <v>42</v>
      </c>
      <c r="D300" s="120">
        <v>6.3620000000000001</v>
      </c>
      <c r="E300" s="120">
        <f>D300*4</f>
        <v>25.448</v>
      </c>
      <c r="F300" s="120">
        <f>E300*8</f>
        <v>203.584</v>
      </c>
      <c r="G300" s="120"/>
      <c r="H300" s="170"/>
      <c r="I300" s="19"/>
      <c r="J300" s="19"/>
      <c r="K300" s="171"/>
      <c r="L300" s="163">
        <v>2.25</v>
      </c>
      <c r="M300" s="15">
        <v>2.1880000000000002</v>
      </c>
      <c r="N300" s="15">
        <v>2E-3</v>
      </c>
      <c r="O300" s="15">
        <v>0.183</v>
      </c>
      <c r="P300" s="165">
        <f t="shared" si="93"/>
        <v>4.6230000000000002</v>
      </c>
      <c r="Q300" s="163">
        <v>0.24399999999999999</v>
      </c>
      <c r="R300" s="15">
        <v>5.0000000000000001E-3</v>
      </c>
      <c r="S300" s="165">
        <f t="shared" si="94"/>
        <v>0.249</v>
      </c>
      <c r="T300" s="188"/>
      <c r="U300" s="166" t="s">
        <v>535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67"/>
      <c r="AM300" s="127" t="s">
        <v>20</v>
      </c>
      <c r="AN300" s="121" t="str">
        <f>AO300</f>
        <v>D</v>
      </c>
      <c r="AO300" s="121" t="s">
        <v>21</v>
      </c>
      <c r="AP300" s="338">
        <v>45513</v>
      </c>
      <c r="AQ300" s="338">
        <v>45514</v>
      </c>
      <c r="AR300" s="338">
        <v>45516</v>
      </c>
      <c r="AS300" s="507">
        <v>45520</v>
      </c>
      <c r="AT300" s="25" t="s">
        <v>584</v>
      </c>
      <c r="AU300" s="173"/>
      <c r="AV300" s="127" t="s">
        <v>20</v>
      </c>
      <c r="AW300" s="15" t="s">
        <v>543</v>
      </c>
      <c r="AX300" s="268">
        <f>AY300</f>
        <v>45659</v>
      </c>
      <c r="AY300" s="268">
        <v>45659</v>
      </c>
      <c r="AZ300" s="172" t="s">
        <v>538</v>
      </c>
      <c r="BA300" s="173"/>
      <c r="BB300" s="127" t="s">
        <v>20</v>
      </c>
      <c r="BC300" s="121"/>
      <c r="BD300" s="121" t="s">
        <v>21</v>
      </c>
      <c r="BE300" s="269">
        <f>BF300-2</f>
        <v>45705</v>
      </c>
      <c r="BF300" s="269">
        <v>45707</v>
      </c>
      <c r="BG300" s="17" t="s">
        <v>577</v>
      </c>
      <c r="BH300" s="178"/>
      <c r="BI300" s="127" t="s">
        <v>20</v>
      </c>
      <c r="BJ300" s="121">
        <v>45780</v>
      </c>
      <c r="BK300" s="121">
        <v>45780</v>
      </c>
      <c r="BL300" s="25">
        <v>980</v>
      </c>
      <c r="BM300" s="24" t="s">
        <v>586</v>
      </c>
    </row>
    <row r="301" spans="1:65" ht="14.25" customHeight="1">
      <c r="A301" s="15" t="s">
        <v>0</v>
      </c>
      <c r="B301" s="19"/>
      <c r="C301" s="169"/>
      <c r="D301" s="120"/>
      <c r="E301" s="120"/>
      <c r="F301" s="120"/>
      <c r="G301" s="120"/>
      <c r="H301" s="170"/>
      <c r="I301" s="19"/>
      <c r="J301" s="19"/>
      <c r="K301" s="171"/>
      <c r="L301" s="163"/>
      <c r="M301" s="15"/>
      <c r="N301" s="15"/>
      <c r="O301" s="15"/>
      <c r="P301" s="165"/>
      <c r="Q301" s="163"/>
      <c r="R301" s="15"/>
      <c r="S301" s="165"/>
      <c r="T301" s="188"/>
      <c r="U301" s="188"/>
      <c r="V301" s="16">
        <v>279.99</v>
      </c>
      <c r="W301" s="15" t="s">
        <v>564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67"/>
      <c r="AM301" s="15"/>
      <c r="AN301" s="24"/>
      <c r="AO301" s="24"/>
      <c r="AP301" s="24"/>
      <c r="AQ301" s="24"/>
      <c r="AR301" s="24"/>
      <c r="AS301" s="25"/>
      <c r="AT301" s="25"/>
      <c r="AU301" s="168"/>
      <c r="AV301" s="15"/>
      <c r="AW301" s="24"/>
      <c r="AX301" s="268"/>
      <c r="AY301" s="268"/>
      <c r="AZ301" s="24"/>
      <c r="BA301" s="168"/>
      <c r="BB301" s="24"/>
      <c r="BC301" s="24"/>
      <c r="BD301" s="24"/>
      <c r="BE301" s="24"/>
      <c r="BF301" s="24"/>
      <c r="BG301" s="24"/>
      <c r="BH301" s="16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69" t="s">
        <v>37</v>
      </c>
      <c r="D302" s="120">
        <v>6.992</v>
      </c>
      <c r="E302" s="120">
        <f>D302*4</f>
        <v>27.968</v>
      </c>
      <c r="F302" s="120">
        <f>E302*8</f>
        <v>223.744</v>
      </c>
      <c r="G302" s="120"/>
      <c r="H302" s="170"/>
      <c r="I302" s="19"/>
      <c r="J302" s="19"/>
      <c r="K302" s="171"/>
      <c r="L302" s="163">
        <v>2.6070000000000002</v>
      </c>
      <c r="M302" s="15">
        <v>2.657</v>
      </c>
      <c r="N302" s="15">
        <v>2E-3</v>
      </c>
      <c r="O302" s="15">
        <v>0.21299999999999999</v>
      </c>
      <c r="P302" s="165">
        <f t="shared" si="93"/>
        <v>5.4790000000000001</v>
      </c>
      <c r="Q302" s="163">
        <v>0.24399999999999999</v>
      </c>
      <c r="R302" s="15">
        <v>5.0000000000000001E-3</v>
      </c>
      <c r="S302" s="165">
        <f t="shared" si="94"/>
        <v>0.249</v>
      </c>
      <c r="T302" s="188"/>
      <c r="U302" s="166" t="s">
        <v>535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67"/>
      <c r="AM302" s="127" t="s">
        <v>20</v>
      </c>
      <c r="AN302" s="121" t="str">
        <f>AO302</f>
        <v>D</v>
      </c>
      <c r="AO302" s="121" t="s">
        <v>21</v>
      </c>
      <c r="AP302" s="338">
        <v>45557</v>
      </c>
      <c r="AQ302" s="338">
        <v>45582</v>
      </c>
      <c r="AR302" s="338">
        <v>45583</v>
      </c>
      <c r="AS302" s="507">
        <v>45587</v>
      </c>
      <c r="AT302" s="25" t="s">
        <v>588</v>
      </c>
      <c r="AU302" s="173"/>
      <c r="AV302" s="127" t="s">
        <v>20</v>
      </c>
      <c r="AW302" s="15" t="s">
        <v>543</v>
      </c>
      <c r="AX302" s="268">
        <f>AY302</f>
        <v>45661</v>
      </c>
      <c r="AY302" s="268">
        <v>45661</v>
      </c>
      <c r="AZ302" s="172" t="s">
        <v>538</v>
      </c>
      <c r="BA302" s="173"/>
      <c r="BB302" s="127" t="s">
        <v>20</v>
      </c>
      <c r="BC302" s="121"/>
      <c r="BD302" s="121" t="s">
        <v>21</v>
      </c>
      <c r="BE302" s="269">
        <f>BF302-1</f>
        <v>45721</v>
      </c>
      <c r="BF302" s="269">
        <v>45722</v>
      </c>
      <c r="BG302" s="17" t="s">
        <v>577</v>
      </c>
      <c r="BH302" s="178"/>
      <c r="BI302" s="127" t="s">
        <v>20</v>
      </c>
      <c r="BJ302" s="121">
        <v>45781</v>
      </c>
      <c r="BK302" s="121">
        <v>45781</v>
      </c>
      <c r="BL302" s="25">
        <v>1330</v>
      </c>
      <c r="BM302" s="24" t="s">
        <v>586</v>
      </c>
    </row>
    <row r="303" spans="1:65" ht="14.25" customHeight="1">
      <c r="A303" s="15" t="s">
        <v>0</v>
      </c>
      <c r="B303" s="19"/>
      <c r="C303" s="169"/>
      <c r="D303" s="120"/>
      <c r="E303" s="120"/>
      <c r="F303" s="120"/>
      <c r="G303" s="120"/>
      <c r="H303" s="170"/>
      <c r="I303" s="19"/>
      <c r="J303" s="19"/>
      <c r="K303" s="171"/>
      <c r="L303" s="163"/>
      <c r="M303" s="15"/>
      <c r="N303" s="15"/>
      <c r="O303" s="15"/>
      <c r="P303" s="165"/>
      <c r="Q303" s="163"/>
      <c r="R303" s="15"/>
      <c r="S303" s="165"/>
      <c r="T303" s="188"/>
      <c r="U303" s="188"/>
      <c r="V303" s="16">
        <v>369.48</v>
      </c>
      <c r="W303" s="15" t="s">
        <v>541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67"/>
      <c r="AM303" s="15"/>
      <c r="AN303" s="24"/>
      <c r="AO303" s="24"/>
      <c r="AP303" s="24"/>
      <c r="AQ303" s="24"/>
      <c r="AR303" s="24"/>
      <c r="AS303" s="25"/>
      <c r="AT303" s="25"/>
      <c r="AU303" s="168"/>
      <c r="AV303" s="15"/>
      <c r="AW303" s="24"/>
      <c r="AX303" s="268"/>
      <c r="AY303" s="268"/>
      <c r="AZ303" s="24"/>
      <c r="BA303" s="168"/>
      <c r="BB303" s="24"/>
      <c r="BC303" s="24"/>
      <c r="BD303" s="24"/>
      <c r="BE303" s="24"/>
      <c r="BF303" s="24"/>
      <c r="BG303" s="24"/>
      <c r="BH303" s="16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69" t="s">
        <v>37</v>
      </c>
      <c r="D304" s="120">
        <v>6.992</v>
      </c>
      <c r="E304" s="120">
        <f>D304*4</f>
        <v>27.968</v>
      </c>
      <c r="F304" s="120">
        <f>E304*8</f>
        <v>223.744</v>
      </c>
      <c r="G304" s="120"/>
      <c r="H304" s="170"/>
      <c r="I304" s="19"/>
      <c r="J304" s="19"/>
      <c r="K304" s="171"/>
      <c r="L304" s="163">
        <v>2.6070000000000002</v>
      </c>
      <c r="M304" s="15">
        <v>2.657</v>
      </c>
      <c r="N304" s="15">
        <v>2E-3</v>
      </c>
      <c r="O304" s="15">
        <v>0.21299999999999999</v>
      </c>
      <c r="P304" s="165">
        <f t="shared" si="93"/>
        <v>5.4790000000000001</v>
      </c>
      <c r="Q304" s="163">
        <v>0.24399999999999999</v>
      </c>
      <c r="R304" s="15">
        <v>5.0000000000000001E-3</v>
      </c>
      <c r="S304" s="165">
        <f t="shared" si="94"/>
        <v>0.249</v>
      </c>
      <c r="T304" s="188"/>
      <c r="U304" s="166" t="s">
        <v>535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67"/>
      <c r="AM304" s="127" t="s">
        <v>20</v>
      </c>
      <c r="AN304" s="121" t="str">
        <f>AO304</f>
        <v>D</v>
      </c>
      <c r="AO304" s="121" t="s">
        <v>21</v>
      </c>
      <c r="AP304" s="338">
        <v>45505</v>
      </c>
      <c r="AQ304" s="338">
        <v>45510</v>
      </c>
      <c r="AR304" s="338">
        <v>45512</v>
      </c>
      <c r="AS304" s="507">
        <v>45516</v>
      </c>
      <c r="AT304" s="25" t="s">
        <v>538</v>
      </c>
      <c r="AU304" s="173"/>
      <c r="AV304" s="127" t="s">
        <v>20</v>
      </c>
      <c r="AW304" s="15" t="s">
        <v>543</v>
      </c>
      <c r="AX304" s="268">
        <f>AY304</f>
        <v>45661</v>
      </c>
      <c r="AY304" s="268">
        <v>45661</v>
      </c>
      <c r="AZ304" s="172" t="s">
        <v>538</v>
      </c>
      <c r="BA304" s="173"/>
      <c r="BB304" s="127" t="s">
        <v>20</v>
      </c>
      <c r="BC304" s="121"/>
      <c r="BD304" s="121" t="s">
        <v>21</v>
      </c>
      <c r="BE304" s="269">
        <f>BF304-2</f>
        <v>45707</v>
      </c>
      <c r="BF304" s="269">
        <v>45709</v>
      </c>
      <c r="BG304" s="17" t="s">
        <v>577</v>
      </c>
      <c r="BH304" s="177"/>
      <c r="BI304" s="127" t="s">
        <v>20</v>
      </c>
      <c r="BJ304" s="121">
        <v>45781</v>
      </c>
      <c r="BK304" s="121">
        <v>45781</v>
      </c>
      <c r="BL304" s="25">
        <v>1330</v>
      </c>
      <c r="BM304" s="24" t="s">
        <v>586</v>
      </c>
    </row>
    <row r="305" spans="1:65" ht="14.25" customHeight="1">
      <c r="A305" s="15" t="s">
        <v>0</v>
      </c>
      <c r="B305" s="19"/>
      <c r="C305" s="169"/>
      <c r="D305" s="120"/>
      <c r="E305" s="120"/>
      <c r="F305" s="120"/>
      <c r="G305" s="120"/>
      <c r="H305" s="170"/>
      <c r="I305" s="19"/>
      <c r="J305" s="19"/>
      <c r="K305" s="171"/>
      <c r="L305" s="163"/>
      <c r="M305" s="15"/>
      <c r="N305" s="15"/>
      <c r="O305" s="15"/>
      <c r="P305" s="165"/>
      <c r="Q305" s="163"/>
      <c r="R305" s="15"/>
      <c r="S305" s="165"/>
      <c r="T305" s="188"/>
      <c r="U305" s="188"/>
      <c r="V305" s="16">
        <v>369.65</v>
      </c>
      <c r="W305" s="15" t="s">
        <v>564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67"/>
      <c r="AM305" s="15"/>
      <c r="AN305" s="24"/>
      <c r="AO305" s="24"/>
      <c r="AP305" s="24"/>
      <c r="AQ305" s="24"/>
      <c r="AR305" s="24"/>
      <c r="AS305" s="25"/>
      <c r="AT305" s="25"/>
      <c r="AU305" s="168"/>
      <c r="AV305" s="15"/>
      <c r="AW305" s="24"/>
      <c r="AX305" s="268"/>
      <c r="AY305" s="268"/>
      <c r="AZ305" s="24"/>
      <c r="BA305" s="168"/>
      <c r="BB305" s="24"/>
      <c r="BC305" s="24"/>
      <c r="BD305" s="24"/>
      <c r="BE305" s="24"/>
      <c r="BF305" s="24"/>
      <c r="BG305" s="24"/>
      <c r="BH305" s="16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69" t="s">
        <v>37</v>
      </c>
      <c r="D306" s="120">
        <v>6.992</v>
      </c>
      <c r="E306" s="120">
        <f>D306*4</f>
        <v>27.968</v>
      </c>
      <c r="F306" s="120">
        <f>E306*8</f>
        <v>223.744</v>
      </c>
      <c r="G306" s="120"/>
      <c r="H306" s="170"/>
      <c r="I306" s="19"/>
      <c r="J306" s="19"/>
      <c r="K306" s="171"/>
      <c r="L306" s="163">
        <v>2.6070000000000002</v>
      </c>
      <c r="M306" s="15">
        <v>2.657</v>
      </c>
      <c r="N306" s="15">
        <v>2E-3</v>
      </c>
      <c r="O306" s="15">
        <v>0.21299999999999999</v>
      </c>
      <c r="P306" s="165">
        <f t="shared" si="93"/>
        <v>5.4790000000000001</v>
      </c>
      <c r="Q306" s="163">
        <v>0.24399999999999999</v>
      </c>
      <c r="R306" s="15">
        <v>5.0000000000000001E-3</v>
      </c>
      <c r="S306" s="165">
        <f t="shared" si="94"/>
        <v>0.249</v>
      </c>
      <c r="T306" s="188"/>
      <c r="U306" s="166" t="s">
        <v>535</v>
      </c>
      <c r="V306" s="15"/>
      <c r="W306" s="15"/>
      <c r="X306" s="176">
        <v>143.35999999999999</v>
      </c>
      <c r="Y306" s="176">
        <v>0.88</v>
      </c>
      <c r="Z306" s="176">
        <v>8.1199999999999992</v>
      </c>
      <c r="AA306" s="17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76"/>
      <c r="AG306" s="15">
        <v>100.6</v>
      </c>
      <c r="AH306" s="15">
        <v>157.18</v>
      </c>
      <c r="AI306" s="176"/>
      <c r="AJ306" s="15">
        <v>856.94</v>
      </c>
      <c r="AK306" s="15">
        <v>0.85694000000000004</v>
      </c>
      <c r="AL306" s="167"/>
      <c r="AM306" s="127" t="s">
        <v>20</v>
      </c>
      <c r="AN306" s="121" t="str">
        <f>AO306</f>
        <v>D</v>
      </c>
      <c r="AO306" s="121" t="s">
        <v>21</v>
      </c>
      <c r="AP306" s="338">
        <f t="shared" ref="AP306:AR306" si="103">AQ306-2</f>
        <v>45707</v>
      </c>
      <c r="AQ306" s="338">
        <f t="shared" si="103"/>
        <v>45709</v>
      </c>
      <c r="AR306" s="338">
        <f t="shared" si="103"/>
        <v>45711</v>
      </c>
      <c r="AS306" s="507">
        <v>45713</v>
      </c>
      <c r="AT306" s="25" t="s">
        <v>588</v>
      </c>
      <c r="AU306" s="173"/>
      <c r="AV306" s="127" t="s">
        <v>20</v>
      </c>
      <c r="AW306" s="15" t="s">
        <v>543</v>
      </c>
      <c r="AX306" s="268">
        <f>AS306+10</f>
        <v>45723</v>
      </c>
      <c r="AY306" s="268">
        <f>AX306</f>
        <v>45723</v>
      </c>
      <c r="AZ306" s="19" t="s">
        <v>589</v>
      </c>
      <c r="BA306" s="184"/>
      <c r="BB306" s="127" t="s">
        <v>20</v>
      </c>
      <c r="BC306" s="121"/>
      <c r="BD306" s="121"/>
      <c r="BE306" s="269">
        <f>BF306-2</f>
        <v>45971</v>
      </c>
      <c r="BF306" s="269">
        <v>45973</v>
      </c>
      <c r="BG306" s="17" t="s">
        <v>505</v>
      </c>
      <c r="BH306" s="183"/>
      <c r="BI306" s="127" t="s">
        <v>20</v>
      </c>
      <c r="BJ306" s="121"/>
      <c r="BK306" s="121"/>
      <c r="BL306" s="25"/>
      <c r="BM306" s="24" t="s">
        <v>707</v>
      </c>
    </row>
    <row r="307" spans="1:65" ht="14.25" customHeight="1">
      <c r="A307" s="407" t="s">
        <v>0</v>
      </c>
      <c r="B307" s="404"/>
      <c r="C307" s="410"/>
      <c r="D307" s="411"/>
      <c r="E307" s="411"/>
      <c r="F307" s="411"/>
      <c r="G307" s="411"/>
      <c r="H307" s="403"/>
      <c r="I307" s="404"/>
      <c r="J307" s="404"/>
      <c r="K307" s="405"/>
      <c r="L307" s="406"/>
      <c r="M307" s="407"/>
      <c r="N307" s="407"/>
      <c r="O307" s="407"/>
      <c r="P307" s="408"/>
      <c r="Q307" s="406"/>
      <c r="R307" s="407"/>
      <c r="S307" s="408"/>
      <c r="T307" s="412"/>
      <c r="U307" s="412"/>
      <c r="V307" s="413">
        <v>284</v>
      </c>
      <c r="W307" s="407" t="s">
        <v>564</v>
      </c>
      <c r="X307" s="407"/>
      <c r="Y307" s="407"/>
      <c r="Z307" s="407"/>
      <c r="AA307" s="407"/>
      <c r="AB307" s="407"/>
      <c r="AC307" s="407"/>
      <c r="AD307" s="407"/>
      <c r="AE307" s="407"/>
      <c r="AF307" s="407"/>
      <c r="AG307" s="407"/>
      <c r="AH307" s="407"/>
      <c r="AI307" s="407"/>
      <c r="AJ307" s="407"/>
      <c r="AK307" s="407"/>
      <c r="AL307" s="414"/>
      <c r="AM307" s="407"/>
      <c r="AN307" s="415"/>
      <c r="AO307" s="415"/>
      <c r="AP307" s="415"/>
      <c r="AQ307" s="415"/>
      <c r="AR307" s="415"/>
      <c r="AS307" s="506"/>
      <c r="AT307" s="506"/>
      <c r="AU307" s="416"/>
      <c r="AV307" s="407"/>
      <c r="AW307" s="415"/>
      <c r="AX307" s="417"/>
      <c r="AY307" s="417"/>
      <c r="AZ307" s="415"/>
      <c r="BA307" s="416"/>
      <c r="BB307" s="415"/>
      <c r="BC307" s="415"/>
      <c r="BD307" s="415"/>
      <c r="BE307" s="415"/>
      <c r="BF307" s="415"/>
      <c r="BG307" s="415"/>
      <c r="BH307" s="416"/>
      <c r="BI307" s="415"/>
      <c r="BJ307" s="415"/>
      <c r="BK307" s="415"/>
      <c r="BL307" s="415"/>
      <c r="BM307" s="415"/>
    </row>
    <row r="308" spans="1:65" ht="15" customHeight="1">
      <c r="A308" s="428">
        <f>A306+1</f>
        <v>150</v>
      </c>
      <c r="B308" s="430" t="s">
        <v>231</v>
      </c>
      <c r="C308" s="430" t="s">
        <v>76</v>
      </c>
      <c r="D308" s="430">
        <v>7.71</v>
      </c>
      <c r="E308" s="430">
        <f>D308*4</f>
        <v>30.84</v>
      </c>
      <c r="F308" s="430">
        <f>E308*8</f>
        <v>246.72</v>
      </c>
      <c r="G308" s="430"/>
      <c r="H308" s="430"/>
      <c r="I308" s="430"/>
      <c r="J308" s="430"/>
      <c r="K308" s="430"/>
      <c r="L308" s="430">
        <v>3.452</v>
      </c>
      <c r="M308" s="430">
        <v>2.633</v>
      </c>
      <c r="N308" s="430">
        <v>4.0000000000000001E-3</v>
      </c>
      <c r="O308" s="430">
        <v>0.24099999999999999</v>
      </c>
      <c r="P308" s="430">
        <f t="shared" si="93"/>
        <v>6.3299999999999992</v>
      </c>
      <c r="Q308" s="430">
        <v>0.36299999999999999</v>
      </c>
      <c r="R308" s="430">
        <v>6.0000000000000001E-3</v>
      </c>
      <c r="S308" s="430">
        <f t="shared" si="94"/>
        <v>0.36899999999999999</v>
      </c>
      <c r="T308" s="430" t="s">
        <v>230</v>
      </c>
      <c r="U308" s="430" t="s">
        <v>535</v>
      </c>
      <c r="V308" s="430"/>
      <c r="W308" s="430"/>
      <c r="X308" s="430"/>
      <c r="Y308" s="430">
        <v>1.68</v>
      </c>
      <c r="Z308" s="430">
        <v>13.27</v>
      </c>
      <c r="AA308" s="430">
        <f t="shared" si="95"/>
        <v>14.95</v>
      </c>
      <c r="AB308" s="430"/>
      <c r="AC308" s="430"/>
      <c r="AD308" s="430"/>
      <c r="AE308" s="430"/>
      <c r="AF308" s="430"/>
      <c r="AG308" s="430"/>
      <c r="AH308" s="430"/>
      <c r="AI308" s="430"/>
      <c r="AJ308" s="430"/>
      <c r="AK308" s="430"/>
      <c r="AL308" s="430"/>
      <c r="AM308" s="127" t="s">
        <v>20</v>
      </c>
      <c r="AN308" s="121" t="str">
        <f>AO308</f>
        <v>D</v>
      </c>
      <c r="AO308" s="121" t="s">
        <v>21</v>
      </c>
      <c r="AP308" s="338">
        <v>45588</v>
      </c>
      <c r="AQ308" s="338">
        <v>45592</v>
      </c>
      <c r="AR308" s="338">
        <v>45602</v>
      </c>
      <c r="AS308" s="507">
        <v>45605</v>
      </c>
      <c r="AT308" s="25" t="s">
        <v>592</v>
      </c>
      <c r="AU308" s="168"/>
      <c r="AV308" s="127" t="s">
        <v>20</v>
      </c>
      <c r="AW308" s="15" t="s">
        <v>543</v>
      </c>
      <c r="AX308" s="268">
        <f>AY308</f>
        <v>45661</v>
      </c>
      <c r="AY308" s="268">
        <v>45661</v>
      </c>
      <c r="AZ308" s="24" t="s">
        <v>592</v>
      </c>
      <c r="BA308" s="168"/>
      <c r="BB308" s="127" t="s">
        <v>20</v>
      </c>
      <c r="BC308" s="121"/>
      <c r="BD308" s="121" t="s">
        <v>21</v>
      </c>
      <c r="BE308" s="269">
        <f>BF308-2</f>
        <v>45722</v>
      </c>
      <c r="BF308" s="269">
        <v>45724</v>
      </c>
      <c r="BG308" s="17" t="s">
        <v>577</v>
      </c>
      <c r="BH308" s="178"/>
      <c r="BI308" s="127" t="s">
        <v>20</v>
      </c>
      <c r="BJ308" s="124">
        <v>45784</v>
      </c>
      <c r="BK308" s="124">
        <v>45784</v>
      </c>
      <c r="BL308" s="25">
        <v>1252</v>
      </c>
      <c r="BM308" s="24" t="s">
        <v>586</v>
      </c>
    </row>
    <row r="309" spans="1:65" ht="14.25" customHeight="1">
      <c r="A309" s="418" t="s">
        <v>0</v>
      </c>
      <c r="B309" s="419"/>
      <c r="C309" s="420"/>
      <c r="D309" s="421"/>
      <c r="E309" s="421"/>
      <c r="F309" s="421"/>
      <c r="G309" s="421"/>
      <c r="H309" s="422"/>
      <c r="I309" s="419"/>
      <c r="J309" s="419"/>
      <c r="K309" s="423"/>
      <c r="L309" s="409"/>
      <c r="M309" s="418"/>
      <c r="N309" s="418"/>
      <c r="O309" s="418"/>
      <c r="P309" s="424"/>
      <c r="Q309" s="409"/>
      <c r="R309" s="418"/>
      <c r="S309" s="424"/>
      <c r="T309" s="425"/>
      <c r="U309" s="425"/>
      <c r="V309" s="426">
        <v>345.88</v>
      </c>
      <c r="W309" s="418" t="s">
        <v>541</v>
      </c>
      <c r="X309" s="418"/>
      <c r="Y309" s="418"/>
      <c r="Z309" s="418"/>
      <c r="AA309" s="418"/>
      <c r="AB309" s="418"/>
      <c r="AC309" s="418"/>
      <c r="AD309" s="418"/>
      <c r="AE309" s="418"/>
      <c r="AF309" s="418"/>
      <c r="AG309" s="418"/>
      <c r="AH309" s="418"/>
      <c r="AI309" s="418"/>
      <c r="AJ309" s="418"/>
      <c r="AK309" s="418"/>
      <c r="AL309" s="427"/>
      <c r="AM309" s="15"/>
      <c r="AN309" s="24"/>
      <c r="AO309" s="24"/>
      <c r="AP309" s="24"/>
      <c r="AQ309" s="24"/>
      <c r="AR309" s="24"/>
      <c r="AS309" s="25"/>
      <c r="AT309" s="25"/>
      <c r="AU309" s="168"/>
      <c r="AV309" s="15"/>
      <c r="AW309" s="24"/>
      <c r="AX309" s="268"/>
      <c r="AY309" s="268"/>
      <c r="AZ309" s="24"/>
      <c r="BA309" s="168"/>
      <c r="BB309" s="24"/>
      <c r="BC309" s="24"/>
      <c r="BD309" s="24"/>
      <c r="BE309" s="24"/>
      <c r="BF309" s="24"/>
      <c r="BG309" s="24"/>
      <c r="BH309" s="16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69" t="s">
        <v>37</v>
      </c>
      <c r="D310" s="120">
        <v>6.992</v>
      </c>
      <c r="E310" s="120">
        <f>D310*4</f>
        <v>27.968</v>
      </c>
      <c r="F310" s="120">
        <f>E310*8</f>
        <v>223.744</v>
      </c>
      <c r="G310" s="120"/>
      <c r="H310" s="170"/>
      <c r="I310" s="19"/>
      <c r="J310" s="19"/>
      <c r="K310" s="171"/>
      <c r="L310" s="163">
        <v>2.6070000000000002</v>
      </c>
      <c r="M310" s="15">
        <v>2.657</v>
      </c>
      <c r="N310" s="15">
        <v>2E-3</v>
      </c>
      <c r="O310" s="15">
        <v>0.21299999999999999</v>
      </c>
      <c r="P310" s="165">
        <f t="shared" si="93"/>
        <v>5.4790000000000001</v>
      </c>
      <c r="Q310" s="163">
        <v>0.24399999999999999</v>
      </c>
      <c r="R310" s="15">
        <v>5.0000000000000001E-3</v>
      </c>
      <c r="S310" s="165">
        <f t="shared" si="94"/>
        <v>0.249</v>
      </c>
      <c r="T310" s="188"/>
      <c r="U310" s="166" t="s">
        <v>535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67"/>
      <c r="AM310" s="127" t="s">
        <v>20</v>
      </c>
      <c r="AN310" s="121" t="s">
        <v>21</v>
      </c>
      <c r="AO310" s="121" t="s">
        <v>21</v>
      </c>
      <c r="AP310" s="338">
        <f t="shared" ref="AP310" si="104">AQ310-2</f>
        <v>45756</v>
      </c>
      <c r="AQ310" s="338">
        <f t="shared" ref="AQ310" si="105">AR310-2</f>
        <v>45758</v>
      </c>
      <c r="AR310" s="338">
        <f t="shared" ref="AR310" si="106">AS310-2</f>
        <v>45760</v>
      </c>
      <c r="AS310" s="507">
        <v>45762</v>
      </c>
      <c r="AT310" s="15" t="s">
        <v>560</v>
      </c>
      <c r="AU310" s="184"/>
      <c r="AV310" s="127" t="s">
        <v>20</v>
      </c>
      <c r="AW310" s="15" t="s">
        <v>543</v>
      </c>
      <c r="AX310" s="268">
        <f>AY310</f>
        <v>45787</v>
      </c>
      <c r="AY310" s="268">
        <v>45787</v>
      </c>
      <c r="AZ310" s="19" t="s">
        <v>560</v>
      </c>
      <c r="BA310" s="184"/>
      <c r="BB310" s="127" t="s">
        <v>20</v>
      </c>
      <c r="BC310" s="121"/>
      <c r="BD310" s="121" t="s">
        <v>21</v>
      </c>
      <c r="BE310" s="269">
        <f>BF310</f>
        <v>45794</v>
      </c>
      <c r="BF310" s="269">
        <v>45794</v>
      </c>
      <c r="BG310" s="15" t="s">
        <v>593</v>
      </c>
      <c r="BH310" s="179"/>
      <c r="BI310" s="127" t="s">
        <v>20</v>
      </c>
      <c r="BJ310" s="121">
        <v>45812</v>
      </c>
      <c r="BK310" s="121">
        <f>BJ310</f>
        <v>45812</v>
      </c>
      <c r="BL310" s="25">
        <v>1330</v>
      </c>
      <c r="BM310" s="175" t="s">
        <v>586</v>
      </c>
    </row>
    <row r="311" spans="1:65" ht="14.25" customHeight="1">
      <c r="A311" s="15" t="s">
        <v>0</v>
      </c>
      <c r="B311" s="19"/>
      <c r="C311" s="169"/>
      <c r="D311" s="120"/>
      <c r="E311" s="120"/>
      <c r="F311" s="120"/>
      <c r="G311" s="120"/>
      <c r="H311" s="170"/>
      <c r="I311" s="19"/>
      <c r="J311" s="19"/>
      <c r="K311" s="171"/>
      <c r="L311" s="163"/>
      <c r="M311" s="15"/>
      <c r="N311" s="15"/>
      <c r="O311" s="15"/>
      <c r="P311" s="165"/>
      <c r="Q311" s="163"/>
      <c r="R311" s="15"/>
      <c r="S311" s="165"/>
      <c r="T311" s="188"/>
      <c r="U311" s="188"/>
      <c r="V311" s="16">
        <v>310.87</v>
      </c>
      <c r="W311" s="15" t="s">
        <v>564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67"/>
      <c r="AM311" s="15"/>
      <c r="AN311" s="24"/>
      <c r="AO311" s="24"/>
      <c r="AP311" s="24"/>
      <c r="AQ311" s="24"/>
      <c r="AR311" s="24"/>
      <c r="AS311" s="25"/>
      <c r="AT311" s="25"/>
      <c r="AU311" s="168"/>
      <c r="AV311" s="15"/>
      <c r="AW311" s="24"/>
      <c r="AX311" s="268"/>
      <c r="AY311" s="268"/>
      <c r="AZ311" s="24"/>
      <c r="BA311" s="168"/>
      <c r="BB311" s="24"/>
      <c r="BC311" s="24"/>
      <c r="BD311" s="24"/>
      <c r="BE311" s="24"/>
      <c r="BF311" s="24"/>
      <c r="BG311" s="24"/>
      <c r="BH311" s="16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69" t="s">
        <v>37</v>
      </c>
      <c r="D312" s="120">
        <v>6.992</v>
      </c>
      <c r="E312" s="120">
        <f>D312*4</f>
        <v>27.968</v>
      </c>
      <c r="F312" s="120">
        <f>E312*8</f>
        <v>223.744</v>
      </c>
      <c r="G312" s="120"/>
      <c r="H312" s="170"/>
      <c r="I312" s="19"/>
      <c r="J312" s="19"/>
      <c r="K312" s="171"/>
      <c r="L312" s="163">
        <v>2.6070000000000002</v>
      </c>
      <c r="M312" s="15">
        <v>2.657</v>
      </c>
      <c r="N312" s="15">
        <v>2E-3</v>
      </c>
      <c r="O312" s="15">
        <v>0.21299999999999999</v>
      </c>
      <c r="P312" s="165">
        <f t="shared" si="93"/>
        <v>5.4790000000000001</v>
      </c>
      <c r="Q312" s="163">
        <v>0.24399999999999999</v>
      </c>
      <c r="R312" s="15">
        <v>5.0000000000000001E-3</v>
      </c>
      <c r="S312" s="165">
        <f t="shared" si="94"/>
        <v>0.249</v>
      </c>
      <c r="T312" s="188"/>
      <c r="U312" s="166" t="s">
        <v>535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67"/>
      <c r="AM312" s="127" t="s">
        <v>20</v>
      </c>
      <c r="AN312" s="121" t="s">
        <v>21</v>
      </c>
      <c r="AO312" s="121" t="s">
        <v>21</v>
      </c>
      <c r="AP312" s="338">
        <f t="shared" ref="AP312" si="107">AQ312-2</f>
        <v>45762</v>
      </c>
      <c r="AQ312" s="338">
        <f t="shared" ref="AQ312" si="108">AR312-2</f>
        <v>45764</v>
      </c>
      <c r="AR312" s="338">
        <f t="shared" ref="AR312" si="109">AS312-2</f>
        <v>45766</v>
      </c>
      <c r="AS312" s="507">
        <v>45768</v>
      </c>
      <c r="AT312" s="15" t="s">
        <v>560</v>
      </c>
      <c r="AU312" s="184"/>
      <c r="AV312" s="127" t="s">
        <v>20</v>
      </c>
      <c r="AW312" s="15" t="s">
        <v>543</v>
      </c>
      <c r="AX312" s="268">
        <f>AY312-1</f>
        <v>45778</v>
      </c>
      <c r="AY312" s="268">
        <v>45779</v>
      </c>
      <c r="AZ312" s="19" t="s">
        <v>560</v>
      </c>
      <c r="BA312" s="184"/>
      <c r="BB312" s="127" t="s">
        <v>20</v>
      </c>
      <c r="BC312" s="121"/>
      <c r="BD312" s="121" t="s">
        <v>21</v>
      </c>
      <c r="BE312" s="269">
        <f>BF312-1</f>
        <v>45791</v>
      </c>
      <c r="BF312" s="269">
        <v>45792</v>
      </c>
      <c r="BG312" s="15" t="s">
        <v>593</v>
      </c>
      <c r="BH312" s="177"/>
      <c r="BI312" s="127" t="s">
        <v>20</v>
      </c>
      <c r="BJ312" s="121">
        <f>BK312</f>
        <v>45807</v>
      </c>
      <c r="BK312" s="121">
        <v>45807</v>
      </c>
      <c r="BL312" s="25">
        <v>1330</v>
      </c>
      <c r="BM312" s="24" t="s">
        <v>586</v>
      </c>
    </row>
    <row r="313" spans="1:65" ht="14.25" customHeight="1">
      <c r="A313" s="15" t="s">
        <v>0</v>
      </c>
      <c r="B313" s="19"/>
      <c r="C313" s="169"/>
      <c r="D313" s="120"/>
      <c r="E313" s="120"/>
      <c r="F313" s="120"/>
      <c r="G313" s="120"/>
      <c r="H313" s="170"/>
      <c r="I313" s="19"/>
      <c r="J313" s="19"/>
      <c r="K313" s="171"/>
      <c r="L313" s="163"/>
      <c r="M313" s="15"/>
      <c r="N313" s="15"/>
      <c r="O313" s="15"/>
      <c r="P313" s="165"/>
      <c r="Q313" s="163"/>
      <c r="R313" s="15"/>
      <c r="S313" s="165"/>
      <c r="T313" s="188"/>
      <c r="U313" s="188"/>
      <c r="V313" s="16">
        <v>380.03</v>
      </c>
      <c r="W313" s="15" t="s">
        <v>564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67"/>
      <c r="AM313" s="15"/>
      <c r="AN313" s="24"/>
      <c r="AO313" s="24"/>
      <c r="AP313" s="24"/>
      <c r="AQ313" s="24"/>
      <c r="AR313" s="24"/>
      <c r="AS313" s="25"/>
      <c r="AT313" s="25"/>
      <c r="AU313" s="168"/>
      <c r="AV313" s="15"/>
      <c r="AW313" s="24"/>
      <c r="AX313" s="268"/>
      <c r="AY313" s="268"/>
      <c r="AZ313" s="24"/>
      <c r="BA313" s="168"/>
      <c r="BB313" s="24"/>
      <c r="BC313" s="24"/>
      <c r="BD313" s="24"/>
      <c r="BE313" s="24"/>
      <c r="BF313" s="24"/>
      <c r="BG313" s="24"/>
      <c r="BH313" s="16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69" t="s">
        <v>37</v>
      </c>
      <c r="D314" s="120">
        <v>6.992</v>
      </c>
      <c r="E314" s="120">
        <f>D314*4</f>
        <v>27.968</v>
      </c>
      <c r="F314" s="120">
        <f>E314*8</f>
        <v>223.744</v>
      </c>
      <c r="G314" s="120"/>
      <c r="H314" s="170"/>
      <c r="I314" s="19"/>
      <c r="J314" s="19"/>
      <c r="K314" s="171"/>
      <c r="L314" s="163">
        <v>2.6070000000000002</v>
      </c>
      <c r="M314" s="15">
        <v>2.657</v>
      </c>
      <c r="N314" s="15">
        <v>2E-3</v>
      </c>
      <c r="O314" s="15">
        <v>0.21299999999999999</v>
      </c>
      <c r="P314" s="165">
        <f t="shared" si="93"/>
        <v>5.4790000000000001</v>
      </c>
      <c r="Q314" s="163">
        <v>0.24399999999999999</v>
      </c>
      <c r="R314" s="15">
        <v>5.0000000000000001E-3</v>
      </c>
      <c r="S314" s="165">
        <f t="shared" si="94"/>
        <v>0.249</v>
      </c>
      <c r="T314" s="188"/>
      <c r="U314" s="166" t="s">
        <v>535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67"/>
      <c r="AM314" s="127" t="s">
        <v>20</v>
      </c>
      <c r="AN314" s="121" t="str">
        <f>AO314</f>
        <v>D</v>
      </c>
      <c r="AO314" s="121" t="s">
        <v>21</v>
      </c>
      <c r="AP314" s="338">
        <v>45588</v>
      </c>
      <c r="AQ314" s="338">
        <v>45590</v>
      </c>
      <c r="AR314" s="338">
        <v>45591</v>
      </c>
      <c r="AS314" s="507">
        <v>45591</v>
      </c>
      <c r="AT314" s="25" t="s">
        <v>592</v>
      </c>
      <c r="AU314" s="168"/>
      <c r="AV314" s="127" t="s">
        <v>20</v>
      </c>
      <c r="AW314" s="15" t="s">
        <v>6</v>
      </c>
      <c r="AX314" s="268">
        <f>AY314-1</f>
        <v>45684</v>
      </c>
      <c r="AY314" s="268">
        <v>45685</v>
      </c>
      <c r="AZ314" s="172" t="s">
        <v>538</v>
      </c>
      <c r="BA314" s="173"/>
      <c r="BB314" s="127" t="s">
        <v>20</v>
      </c>
      <c r="BC314" s="121"/>
      <c r="BD314" s="121" t="s">
        <v>21</v>
      </c>
      <c r="BE314" s="269">
        <f>BF314-1</f>
        <v>45706</v>
      </c>
      <c r="BF314" s="269">
        <v>45707</v>
      </c>
      <c r="BG314" s="17" t="s">
        <v>547</v>
      </c>
      <c r="BH314" s="177"/>
      <c r="BI314" s="127" t="s">
        <v>20</v>
      </c>
      <c r="BJ314" s="121">
        <f>BK314</f>
        <v>45807</v>
      </c>
      <c r="BK314" s="121">
        <v>45807</v>
      </c>
      <c r="BL314" s="25">
        <v>1330</v>
      </c>
      <c r="BM314" s="24" t="s">
        <v>586</v>
      </c>
    </row>
    <row r="315" spans="1:65" ht="14.25" customHeight="1">
      <c r="A315" s="15" t="s">
        <v>0</v>
      </c>
      <c r="B315" s="19"/>
      <c r="C315" s="169"/>
      <c r="D315" s="120"/>
      <c r="E315" s="120"/>
      <c r="F315" s="120"/>
      <c r="G315" s="120"/>
      <c r="H315" s="170"/>
      <c r="I315" s="19"/>
      <c r="J315" s="19"/>
      <c r="K315" s="171"/>
      <c r="L315" s="163"/>
      <c r="M315" s="15"/>
      <c r="N315" s="15"/>
      <c r="O315" s="15"/>
      <c r="P315" s="165"/>
      <c r="Q315" s="163"/>
      <c r="R315" s="15"/>
      <c r="S315" s="165"/>
      <c r="T315" s="188"/>
      <c r="U315" s="188"/>
      <c r="V315" s="16">
        <v>358.18</v>
      </c>
      <c r="W315" s="15" t="s">
        <v>536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67"/>
      <c r="AM315" s="15"/>
      <c r="AN315" s="24"/>
      <c r="AO315" s="24"/>
      <c r="AP315" s="24"/>
      <c r="AQ315" s="24"/>
      <c r="AR315" s="24"/>
      <c r="AS315" s="25"/>
      <c r="AT315" s="25"/>
      <c r="AU315" s="168"/>
      <c r="AV315" s="15"/>
      <c r="AW315" s="24"/>
      <c r="AX315" s="268"/>
      <c r="AY315" s="268"/>
      <c r="AZ315" s="24"/>
      <c r="BA315" s="168"/>
      <c r="BB315" s="24"/>
      <c r="BC315" s="24"/>
      <c r="BD315" s="24"/>
      <c r="BE315" s="24"/>
      <c r="BF315" s="24"/>
      <c r="BG315" s="24"/>
      <c r="BH315" s="16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69" t="s">
        <v>42</v>
      </c>
      <c r="D316" s="120">
        <v>6.3620000000000001</v>
      </c>
      <c r="E316" s="120">
        <f>D316*4</f>
        <v>25.448</v>
      </c>
      <c r="F316" s="120">
        <f>E316*8</f>
        <v>203.584</v>
      </c>
      <c r="G316" s="120"/>
      <c r="H316" s="170"/>
      <c r="I316" s="19"/>
      <c r="J316" s="19"/>
      <c r="K316" s="171"/>
      <c r="L316" s="163">
        <v>2.25</v>
      </c>
      <c r="M316" s="15">
        <v>2.1880000000000002</v>
      </c>
      <c r="N316" s="15">
        <v>2E-3</v>
      </c>
      <c r="O316" s="15">
        <v>0.183</v>
      </c>
      <c r="P316" s="165">
        <f t="shared" si="93"/>
        <v>4.6230000000000002</v>
      </c>
      <c r="Q316" s="163">
        <v>0.24399999999999999</v>
      </c>
      <c r="R316" s="15">
        <v>5.0000000000000001E-3</v>
      </c>
      <c r="S316" s="165">
        <f t="shared" si="94"/>
        <v>0.249</v>
      </c>
      <c r="T316" s="188"/>
      <c r="U316" s="166" t="s">
        <v>535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67"/>
      <c r="AM316" s="127" t="s">
        <v>20</v>
      </c>
      <c r="AN316" s="121" t="str">
        <f>AO316</f>
        <v>D</v>
      </c>
      <c r="AO316" s="121" t="s">
        <v>21</v>
      </c>
      <c r="AP316" s="338">
        <f t="shared" ref="AP316" si="110">AQ316-2</f>
        <v>45607</v>
      </c>
      <c r="AQ316" s="338">
        <f t="shared" ref="AQ316" si="111">AR316-2</f>
        <v>45609</v>
      </c>
      <c r="AR316" s="338">
        <f t="shared" ref="AR316" si="112">AS316-2</f>
        <v>45611</v>
      </c>
      <c r="AS316" s="507">
        <v>45613</v>
      </c>
      <c r="AT316" s="25" t="s">
        <v>588</v>
      </c>
      <c r="AU316" s="173"/>
      <c r="AV316" s="127" t="s">
        <v>20</v>
      </c>
      <c r="AW316" s="15" t="s">
        <v>543</v>
      </c>
      <c r="AX316" s="268">
        <f>AY316-1</f>
        <v>45684</v>
      </c>
      <c r="AY316" s="268">
        <v>45685</v>
      </c>
      <c r="AZ316" s="172" t="s">
        <v>538</v>
      </c>
      <c r="BA316" s="173"/>
      <c r="BB316" s="127" t="s">
        <v>20</v>
      </c>
      <c r="BC316" s="121"/>
      <c r="BD316" s="121" t="s">
        <v>21</v>
      </c>
      <c r="BE316" s="269">
        <f>BF316-2</f>
        <v>45695</v>
      </c>
      <c r="BF316" s="269">
        <v>45697</v>
      </c>
      <c r="BG316" s="17" t="s">
        <v>547</v>
      </c>
      <c r="BH316" s="178"/>
      <c r="BI316" s="127" t="s">
        <v>20</v>
      </c>
      <c r="BJ316" s="121">
        <f>BK316</f>
        <v>45807</v>
      </c>
      <c r="BK316" s="121">
        <v>45807</v>
      </c>
      <c r="BL316" s="25">
        <v>980</v>
      </c>
      <c r="BM316" s="24" t="s">
        <v>586</v>
      </c>
    </row>
    <row r="317" spans="1:65" ht="14.25" customHeight="1">
      <c r="A317" s="15" t="s">
        <v>0</v>
      </c>
      <c r="B317" s="19"/>
      <c r="C317" s="169"/>
      <c r="D317" s="120"/>
      <c r="E317" s="120"/>
      <c r="F317" s="120"/>
      <c r="G317" s="120"/>
      <c r="H317" s="170"/>
      <c r="I317" s="19"/>
      <c r="J317" s="19"/>
      <c r="K317" s="171"/>
      <c r="L317" s="163"/>
      <c r="M317" s="15"/>
      <c r="N317" s="15"/>
      <c r="O317" s="15"/>
      <c r="P317" s="165"/>
      <c r="Q317" s="163"/>
      <c r="R317" s="15"/>
      <c r="S317" s="165"/>
      <c r="T317" s="188"/>
      <c r="U317" s="188"/>
      <c r="V317" s="16">
        <v>311.05</v>
      </c>
      <c r="W317" s="15" t="s">
        <v>564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67"/>
      <c r="AM317" s="15"/>
      <c r="AN317" s="24"/>
      <c r="AO317" s="24"/>
      <c r="AP317" s="24"/>
      <c r="AQ317" s="24"/>
      <c r="AR317" s="24"/>
      <c r="AS317" s="25"/>
      <c r="AT317" s="25"/>
      <c r="AU317" s="168"/>
      <c r="AV317" s="15"/>
      <c r="AW317" s="24"/>
      <c r="AX317" s="268"/>
      <c r="AY317" s="268"/>
      <c r="AZ317" s="24"/>
      <c r="BA317" s="168"/>
      <c r="BB317" s="24"/>
      <c r="BC317" s="24"/>
      <c r="BD317" s="24"/>
      <c r="BE317" s="24"/>
      <c r="BF317" s="24"/>
      <c r="BG317" s="24"/>
      <c r="BH317" s="16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69" t="s">
        <v>37</v>
      </c>
      <c r="D318" s="120">
        <v>6.992</v>
      </c>
      <c r="E318" s="120">
        <f>D318*4</f>
        <v>27.968</v>
      </c>
      <c r="F318" s="120">
        <f>E318*8</f>
        <v>223.744</v>
      </c>
      <c r="G318" s="120"/>
      <c r="H318" s="170"/>
      <c r="I318" s="19"/>
      <c r="J318" s="19"/>
      <c r="K318" s="171"/>
      <c r="L318" s="163">
        <v>2.6070000000000002</v>
      </c>
      <c r="M318" s="15">
        <v>2.657</v>
      </c>
      <c r="N318" s="15">
        <v>2E-3</v>
      </c>
      <c r="O318" s="15">
        <v>0.21299999999999999</v>
      </c>
      <c r="P318" s="165">
        <f t="shared" si="93"/>
        <v>5.4790000000000001</v>
      </c>
      <c r="Q318" s="163">
        <v>0.24399999999999999</v>
      </c>
      <c r="R318" s="15">
        <v>5.0000000000000001E-3</v>
      </c>
      <c r="S318" s="165">
        <f t="shared" si="94"/>
        <v>0.249</v>
      </c>
      <c r="T318" s="188"/>
      <c r="U318" s="166" t="s">
        <v>535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67"/>
      <c r="AM318" s="127" t="s">
        <v>20</v>
      </c>
      <c r="AN318" s="121" t="str">
        <f>AO318</f>
        <v>D</v>
      </c>
      <c r="AO318" s="121" t="s">
        <v>21</v>
      </c>
      <c r="AP318" s="338">
        <v>45608</v>
      </c>
      <c r="AQ318" s="338">
        <f t="shared" ref="AQ318" si="113">AR318-1</f>
        <v>45609</v>
      </c>
      <c r="AR318" s="338">
        <f t="shared" ref="AR318" si="114">AS318-1</f>
        <v>45610</v>
      </c>
      <c r="AS318" s="507">
        <v>45611</v>
      </c>
      <c r="AT318" s="25" t="s">
        <v>588</v>
      </c>
      <c r="AU318" s="173"/>
      <c r="AV318" s="127" t="s">
        <v>20</v>
      </c>
      <c r="AW318" s="15" t="s">
        <v>543</v>
      </c>
      <c r="AX318" s="268">
        <f>AY318</f>
        <v>45691</v>
      </c>
      <c r="AY318" s="268">
        <v>45691</v>
      </c>
      <c r="AZ318" s="172" t="s">
        <v>538</v>
      </c>
      <c r="BA318" s="173"/>
      <c r="BB318" s="127" t="s">
        <v>20</v>
      </c>
      <c r="BC318" s="121"/>
      <c r="BD318" s="121" t="s">
        <v>21</v>
      </c>
      <c r="BE318" s="269">
        <f>BF318-1</f>
        <v>45698</v>
      </c>
      <c r="BF318" s="269">
        <v>45699</v>
      </c>
      <c r="BG318" s="17" t="s">
        <v>547</v>
      </c>
      <c r="BH318" s="167"/>
      <c r="BI318" s="127" t="s">
        <v>20</v>
      </c>
      <c r="BJ318" s="17">
        <v>45822</v>
      </c>
      <c r="BK318" s="17">
        <v>45822</v>
      </c>
      <c r="BL318" s="25">
        <v>1330</v>
      </c>
      <c r="BM318" s="175" t="s">
        <v>586</v>
      </c>
    </row>
    <row r="319" spans="1:65" ht="14.25" customHeight="1">
      <c r="A319" s="15" t="s">
        <v>0</v>
      </c>
      <c r="B319" s="19"/>
      <c r="C319" s="169"/>
      <c r="D319" s="120"/>
      <c r="E319" s="120"/>
      <c r="F319" s="120"/>
      <c r="G319" s="120"/>
      <c r="H319" s="170"/>
      <c r="I319" s="19"/>
      <c r="J319" s="19"/>
      <c r="K319" s="171"/>
      <c r="L319" s="163"/>
      <c r="M319" s="15"/>
      <c r="N319" s="15"/>
      <c r="O319" s="15"/>
      <c r="P319" s="165"/>
      <c r="Q319" s="163"/>
      <c r="R319" s="15"/>
      <c r="S319" s="165"/>
      <c r="T319" s="188"/>
      <c r="U319" s="188"/>
      <c r="V319" s="16">
        <v>375.15</v>
      </c>
      <c r="W319" s="15" t="s">
        <v>564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67"/>
      <c r="AM319" s="15"/>
      <c r="AN319" s="24"/>
      <c r="AO319" s="24"/>
      <c r="AP319" s="24"/>
      <c r="AQ319" s="24"/>
      <c r="AR319" s="24"/>
      <c r="AS319" s="25"/>
      <c r="AT319" s="25"/>
      <c r="AU319" s="168"/>
      <c r="AV319" s="15"/>
      <c r="AW319" s="24"/>
      <c r="AX319" s="268"/>
      <c r="AY319" s="268"/>
      <c r="AZ319" s="24"/>
      <c r="BA319" s="168"/>
      <c r="BB319" s="24"/>
      <c r="BC319" s="24"/>
      <c r="BD319" s="24"/>
      <c r="BE319" s="24"/>
      <c r="BF319" s="24"/>
      <c r="BG319" s="24"/>
      <c r="BH319" s="16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69" t="s">
        <v>37</v>
      </c>
      <c r="D320" s="120">
        <v>6.992</v>
      </c>
      <c r="E320" s="120">
        <f>D320*4</f>
        <v>27.968</v>
      </c>
      <c r="F320" s="120">
        <f>E320*8</f>
        <v>223.744</v>
      </c>
      <c r="G320" s="120"/>
      <c r="H320" s="170"/>
      <c r="I320" s="19"/>
      <c r="J320" s="19"/>
      <c r="K320" s="171"/>
      <c r="L320" s="163">
        <v>2.6070000000000002</v>
      </c>
      <c r="M320" s="15">
        <v>2.657</v>
      </c>
      <c r="N320" s="15">
        <v>2E-3</v>
      </c>
      <c r="O320" s="15">
        <v>0.21299999999999999</v>
      </c>
      <c r="P320" s="165">
        <f t="shared" si="93"/>
        <v>5.4790000000000001</v>
      </c>
      <c r="Q320" s="163">
        <v>0.24399999999999999</v>
      </c>
      <c r="R320" s="15">
        <v>5.0000000000000001E-3</v>
      </c>
      <c r="S320" s="165">
        <f t="shared" si="94"/>
        <v>0.249</v>
      </c>
      <c r="T320" s="188"/>
      <c r="U320" s="166" t="s">
        <v>535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67"/>
      <c r="AM320" s="127" t="s">
        <v>20</v>
      </c>
      <c r="AN320" s="121" t="str">
        <f>AO320</f>
        <v>D</v>
      </c>
      <c r="AO320" s="121" t="s">
        <v>21</v>
      </c>
      <c r="AP320" s="338">
        <v>45534</v>
      </c>
      <c r="AQ320" s="338">
        <v>45536</v>
      </c>
      <c r="AR320" s="338">
        <v>45536</v>
      </c>
      <c r="AS320" s="507">
        <v>45554</v>
      </c>
      <c r="AT320" s="25" t="s">
        <v>592</v>
      </c>
      <c r="AU320" s="168"/>
      <c r="AV320" s="127" t="s">
        <v>20</v>
      </c>
      <c r="AW320" s="15" t="s">
        <v>6</v>
      </c>
      <c r="AX320" s="268">
        <f>AY320</f>
        <v>45691</v>
      </c>
      <c r="AY320" s="268">
        <v>45691</v>
      </c>
      <c r="AZ320" s="172" t="s">
        <v>538</v>
      </c>
      <c r="BA320" s="173"/>
      <c r="BB320" s="127" t="s">
        <v>20</v>
      </c>
      <c r="BC320" s="121"/>
      <c r="BD320" s="121" t="s">
        <v>21</v>
      </c>
      <c r="BE320" s="269">
        <f>BF320-1</f>
        <v>45701</v>
      </c>
      <c r="BF320" s="269">
        <v>45702</v>
      </c>
      <c r="BG320" s="17" t="s">
        <v>547</v>
      </c>
      <c r="BH320" s="177"/>
      <c r="BI320" s="127" t="s">
        <v>20</v>
      </c>
      <c r="BJ320" s="124">
        <v>45784</v>
      </c>
      <c r="BK320" s="124">
        <v>45784</v>
      </c>
      <c r="BL320" s="25">
        <v>1330</v>
      </c>
      <c r="BM320" s="24" t="s">
        <v>586</v>
      </c>
    </row>
    <row r="321" spans="1:65" ht="14.25" customHeight="1">
      <c r="A321" s="15" t="s">
        <v>0</v>
      </c>
      <c r="B321" s="19"/>
      <c r="C321" s="169"/>
      <c r="D321" s="120"/>
      <c r="E321" s="120"/>
      <c r="F321" s="120"/>
      <c r="G321" s="120"/>
      <c r="H321" s="170"/>
      <c r="I321" s="19"/>
      <c r="J321" s="19"/>
      <c r="K321" s="171"/>
      <c r="L321" s="163"/>
      <c r="M321" s="15"/>
      <c r="N321" s="15"/>
      <c r="O321" s="15"/>
      <c r="P321" s="165"/>
      <c r="Q321" s="163"/>
      <c r="R321" s="15"/>
      <c r="S321" s="165"/>
      <c r="T321" s="188"/>
      <c r="U321" s="188"/>
      <c r="V321" s="16">
        <v>369.13</v>
      </c>
      <c r="W321" s="15" t="s">
        <v>499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67"/>
      <c r="AM321" s="15"/>
      <c r="AN321" s="24"/>
      <c r="AO321" s="24"/>
      <c r="AP321" s="24"/>
      <c r="AQ321" s="24"/>
      <c r="AR321" s="24"/>
      <c r="AS321" s="25"/>
      <c r="AT321" s="25"/>
      <c r="AU321" s="168"/>
      <c r="AV321" s="15"/>
      <c r="AW321" s="24"/>
      <c r="AX321" s="268"/>
      <c r="AY321" s="268"/>
      <c r="AZ321" s="24"/>
      <c r="BA321" s="168"/>
      <c r="BB321" s="24"/>
      <c r="BC321" s="24"/>
      <c r="BD321" s="24"/>
      <c r="BE321" s="24"/>
      <c r="BF321" s="24"/>
      <c r="BG321" s="24"/>
      <c r="BH321" s="16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69" t="s">
        <v>37</v>
      </c>
      <c r="D322" s="120">
        <v>6.992</v>
      </c>
      <c r="E322" s="120">
        <f>D322*4</f>
        <v>27.968</v>
      </c>
      <c r="F322" s="120">
        <f>E322*8</f>
        <v>223.744</v>
      </c>
      <c r="G322" s="120"/>
      <c r="H322" s="170"/>
      <c r="I322" s="19"/>
      <c r="J322" s="19"/>
      <c r="K322" s="171"/>
      <c r="L322" s="163">
        <v>2.6070000000000002</v>
      </c>
      <c r="M322" s="15">
        <v>2.657</v>
      </c>
      <c r="N322" s="15">
        <v>2E-3</v>
      </c>
      <c r="O322" s="15">
        <v>0.21299999999999999</v>
      </c>
      <c r="P322" s="165">
        <f t="shared" si="93"/>
        <v>5.4790000000000001</v>
      </c>
      <c r="Q322" s="163">
        <v>0.24399999999999999</v>
      </c>
      <c r="R322" s="15">
        <v>5.0000000000000001E-3</v>
      </c>
      <c r="S322" s="165">
        <f t="shared" si="94"/>
        <v>0.249</v>
      </c>
      <c r="T322" s="188"/>
      <c r="U322" s="166" t="s">
        <v>535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67"/>
      <c r="AM322" s="127" t="s">
        <v>20</v>
      </c>
      <c r="AN322" s="121" t="str">
        <f>AO322</f>
        <v>D</v>
      </c>
      <c r="AO322" s="121" t="s">
        <v>21</v>
      </c>
      <c r="AP322" s="338">
        <v>45538</v>
      </c>
      <c r="AQ322" s="338">
        <v>45548</v>
      </c>
      <c r="AR322" s="338">
        <v>45556</v>
      </c>
      <c r="AS322" s="507">
        <v>45558</v>
      </c>
      <c r="AT322" s="25" t="s">
        <v>592</v>
      </c>
      <c r="AU322" s="168"/>
      <c r="AV322" s="127" t="s">
        <v>20</v>
      </c>
      <c r="AW322" s="15" t="s">
        <v>6</v>
      </c>
      <c r="AX322" s="268">
        <f>AY322</f>
        <v>45691</v>
      </c>
      <c r="AY322" s="268">
        <v>45691</v>
      </c>
      <c r="AZ322" s="172" t="s">
        <v>538</v>
      </c>
      <c r="BA322" s="173"/>
      <c r="BB322" s="127" t="s">
        <v>20</v>
      </c>
      <c r="BC322" s="121"/>
      <c r="BD322" s="121" t="s">
        <v>21</v>
      </c>
      <c r="BE322" s="269">
        <f>BF322-2</f>
        <v>45702</v>
      </c>
      <c r="BF322" s="269">
        <v>45704</v>
      </c>
      <c r="BG322" s="17" t="s">
        <v>547</v>
      </c>
      <c r="BH322" s="178"/>
      <c r="BI322" s="127" t="s">
        <v>20</v>
      </c>
      <c r="BJ322" s="124">
        <v>45784</v>
      </c>
      <c r="BK322" s="124">
        <v>45784</v>
      </c>
      <c r="BL322" s="25">
        <v>1330</v>
      </c>
      <c r="BM322" s="24" t="s">
        <v>586</v>
      </c>
    </row>
    <row r="323" spans="1:65" ht="14.25" customHeight="1">
      <c r="A323" s="15" t="s">
        <v>0</v>
      </c>
      <c r="B323" s="19"/>
      <c r="C323" s="169"/>
      <c r="D323" s="120"/>
      <c r="E323" s="120"/>
      <c r="F323" s="120"/>
      <c r="G323" s="120"/>
      <c r="H323" s="170"/>
      <c r="I323" s="19"/>
      <c r="J323" s="19"/>
      <c r="K323" s="171"/>
      <c r="L323" s="163"/>
      <c r="M323" s="15"/>
      <c r="N323" s="15"/>
      <c r="O323" s="15"/>
      <c r="P323" s="165"/>
      <c r="Q323" s="163"/>
      <c r="R323" s="15"/>
      <c r="S323" s="165"/>
      <c r="T323" s="188"/>
      <c r="U323" s="188"/>
      <c r="V323" s="16">
        <v>370.97</v>
      </c>
      <c r="W323" s="15" t="s">
        <v>499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67"/>
      <c r="AM323" s="15"/>
      <c r="AN323" s="24"/>
      <c r="AO323" s="24"/>
      <c r="AP323" s="24"/>
      <c r="AQ323" s="24"/>
      <c r="AR323" s="24"/>
      <c r="AS323" s="25"/>
      <c r="AT323" s="25"/>
      <c r="AU323" s="168"/>
      <c r="AV323" s="15"/>
      <c r="AW323" s="24"/>
      <c r="AX323" s="268"/>
      <c r="AY323" s="268"/>
      <c r="AZ323" s="24"/>
      <c r="BA323" s="168"/>
      <c r="BB323" s="24"/>
      <c r="BC323" s="24"/>
      <c r="BD323" s="24"/>
      <c r="BE323" s="24"/>
      <c r="BF323" s="24"/>
      <c r="BG323" s="24"/>
      <c r="BH323" s="16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69" t="s">
        <v>37</v>
      </c>
      <c r="D324" s="120">
        <v>6.992</v>
      </c>
      <c r="E324" s="120">
        <f>D324*4</f>
        <v>27.968</v>
      </c>
      <c r="F324" s="120">
        <f>E324*8</f>
        <v>223.744</v>
      </c>
      <c r="G324" s="120"/>
      <c r="H324" s="170"/>
      <c r="I324" s="19"/>
      <c r="J324" s="19"/>
      <c r="K324" s="171"/>
      <c r="L324" s="163">
        <v>2.6070000000000002</v>
      </c>
      <c r="M324" s="15">
        <v>2.657</v>
      </c>
      <c r="N324" s="15">
        <v>2E-3</v>
      </c>
      <c r="O324" s="15">
        <v>0.21299999999999999</v>
      </c>
      <c r="P324" s="165">
        <f t="shared" si="93"/>
        <v>5.4790000000000001</v>
      </c>
      <c r="Q324" s="163">
        <v>0.24399999999999999</v>
      </c>
      <c r="R324" s="15">
        <v>5.0000000000000001E-3</v>
      </c>
      <c r="S324" s="165">
        <f t="shared" si="94"/>
        <v>0.249</v>
      </c>
      <c r="T324" s="188"/>
      <c r="U324" s="166" t="s">
        <v>535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67"/>
      <c r="AM324" s="127" t="s">
        <v>20</v>
      </c>
      <c r="AN324" s="121" t="str">
        <f>AO324</f>
        <v>D</v>
      </c>
      <c r="AO324" s="121" t="s">
        <v>21</v>
      </c>
      <c r="AP324" s="338">
        <f>AQ324-3</f>
        <v>45608</v>
      </c>
      <c r="AQ324" s="338">
        <f t="shared" ref="AQ324" si="115">AR324-2</f>
        <v>45611</v>
      </c>
      <c r="AR324" s="338">
        <f t="shared" ref="AR324" si="116">AS324-2</f>
        <v>45613</v>
      </c>
      <c r="AS324" s="507">
        <v>45615</v>
      </c>
      <c r="AT324" s="25" t="s">
        <v>588</v>
      </c>
      <c r="AU324" s="173"/>
      <c r="AV324" s="127" t="s">
        <v>20</v>
      </c>
      <c r="AW324" s="15" t="s">
        <v>543</v>
      </c>
      <c r="AX324" s="268">
        <f>AY324</f>
        <v>45691</v>
      </c>
      <c r="AY324" s="268">
        <v>45691</v>
      </c>
      <c r="AZ324" s="172" t="s">
        <v>538</v>
      </c>
      <c r="BA324" s="173"/>
      <c r="BB324" s="127" t="s">
        <v>20</v>
      </c>
      <c r="BC324" s="121"/>
      <c r="BD324" s="121" t="s">
        <v>21</v>
      </c>
      <c r="BE324" s="269">
        <f>BF324-2</f>
        <v>45707</v>
      </c>
      <c r="BF324" s="269">
        <v>45709</v>
      </c>
      <c r="BG324" s="17" t="s">
        <v>547</v>
      </c>
      <c r="BH324" s="177"/>
      <c r="BI324" s="127" t="s">
        <v>20</v>
      </c>
      <c r="BJ324" s="121">
        <v>45803</v>
      </c>
      <c r="BK324" s="121">
        <v>45803</v>
      </c>
      <c r="BL324" s="25">
        <v>1330</v>
      </c>
      <c r="BM324" s="24" t="s">
        <v>586</v>
      </c>
    </row>
    <row r="325" spans="1:65" ht="14.25" customHeight="1">
      <c r="A325" s="15" t="s">
        <v>0</v>
      </c>
      <c r="B325" s="19"/>
      <c r="C325" s="169"/>
      <c r="D325" s="120"/>
      <c r="E325" s="120"/>
      <c r="F325" s="120"/>
      <c r="G325" s="120"/>
      <c r="H325" s="170"/>
      <c r="I325" s="19"/>
      <c r="J325" s="19"/>
      <c r="K325" s="171"/>
      <c r="L325" s="163"/>
      <c r="M325" s="15"/>
      <c r="N325" s="15"/>
      <c r="O325" s="15"/>
      <c r="P325" s="165"/>
      <c r="Q325" s="163"/>
      <c r="R325" s="15"/>
      <c r="S325" s="165"/>
      <c r="T325" s="188"/>
      <c r="U325" s="188"/>
      <c r="V325" s="16">
        <v>356.46</v>
      </c>
      <c r="W325" s="15" t="s">
        <v>564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67"/>
      <c r="AM325" s="15"/>
      <c r="AN325" s="24"/>
      <c r="AO325" s="24"/>
      <c r="AP325" s="24"/>
      <c r="AQ325" s="24"/>
      <c r="AR325" s="24"/>
      <c r="AS325" s="25"/>
      <c r="AT325" s="25"/>
      <c r="AU325" s="168"/>
      <c r="AV325" s="15"/>
      <c r="AW325" s="24"/>
      <c r="AX325" s="268"/>
      <c r="AY325" s="268"/>
      <c r="AZ325" s="24"/>
      <c r="BA325" s="168"/>
      <c r="BB325" s="24"/>
      <c r="BC325" s="24"/>
      <c r="BD325" s="24"/>
      <c r="BE325" s="24"/>
      <c r="BF325" s="24"/>
      <c r="BG325" s="24"/>
      <c r="BH325" s="16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69" t="s">
        <v>42</v>
      </c>
      <c r="D326" s="120">
        <v>6.3620000000000001</v>
      </c>
      <c r="E326" s="120">
        <f>D326*4</f>
        <v>25.448</v>
      </c>
      <c r="F326" s="120">
        <f>E326*8</f>
        <v>203.584</v>
      </c>
      <c r="G326" s="120"/>
      <c r="H326" s="170"/>
      <c r="I326" s="19"/>
      <c r="J326" s="19"/>
      <c r="K326" s="171"/>
      <c r="L326" s="163">
        <v>2.25</v>
      </c>
      <c r="M326" s="15">
        <v>2.1880000000000002</v>
      </c>
      <c r="N326" s="15">
        <v>2E-3</v>
      </c>
      <c r="O326" s="15">
        <v>0.183</v>
      </c>
      <c r="P326" s="165">
        <f t="shared" si="93"/>
        <v>4.6230000000000002</v>
      </c>
      <c r="Q326" s="163">
        <v>0.24399999999999999</v>
      </c>
      <c r="R326" s="15">
        <v>5.0000000000000001E-3</v>
      </c>
      <c r="S326" s="165">
        <f t="shared" si="94"/>
        <v>0.249</v>
      </c>
      <c r="T326" s="188"/>
      <c r="U326" s="166" t="s">
        <v>535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67"/>
      <c r="AM326" s="127" t="s">
        <v>20</v>
      </c>
      <c r="AN326" s="121" t="str">
        <f>AO326</f>
        <v>D</v>
      </c>
      <c r="AO326" s="121" t="s">
        <v>21</v>
      </c>
      <c r="AP326" s="338">
        <v>45603</v>
      </c>
      <c r="AQ326" s="338">
        <f>AP326+19</f>
        <v>45622</v>
      </c>
      <c r="AR326" s="338">
        <f>AS326-3</f>
        <v>45627</v>
      </c>
      <c r="AS326" s="507">
        <v>45630</v>
      </c>
      <c r="AT326" s="25" t="s">
        <v>592</v>
      </c>
      <c r="AU326" s="168"/>
      <c r="AV326" s="127" t="s">
        <v>20</v>
      </c>
      <c r="AW326" s="15" t="s">
        <v>543</v>
      </c>
      <c r="AX326" s="268">
        <f>AY326</f>
        <v>45691</v>
      </c>
      <c r="AY326" s="268">
        <v>45691</v>
      </c>
      <c r="AZ326" s="172" t="s">
        <v>538</v>
      </c>
      <c r="BA326" s="173"/>
      <c r="BB326" s="127" t="s">
        <v>20</v>
      </c>
      <c r="BC326" s="121"/>
      <c r="BD326" s="121" t="s">
        <v>21</v>
      </c>
      <c r="BE326" s="269">
        <f>BF326-2</f>
        <v>45709</v>
      </c>
      <c r="BF326" s="269">
        <v>45711</v>
      </c>
      <c r="BG326" s="17" t="s">
        <v>547</v>
      </c>
      <c r="BH326" s="177"/>
      <c r="BI326" s="127" t="s">
        <v>20</v>
      </c>
      <c r="BJ326" s="121">
        <v>45803</v>
      </c>
      <c r="BK326" s="121">
        <v>45803</v>
      </c>
      <c r="BL326" s="25">
        <v>980</v>
      </c>
      <c r="BM326" s="24" t="s">
        <v>586</v>
      </c>
    </row>
    <row r="327" spans="1:65" ht="14.25" customHeight="1">
      <c r="A327" s="15" t="s">
        <v>0</v>
      </c>
      <c r="B327" s="19"/>
      <c r="C327" s="169"/>
      <c r="D327" s="120"/>
      <c r="E327" s="120"/>
      <c r="F327" s="120"/>
      <c r="G327" s="120"/>
      <c r="H327" s="170"/>
      <c r="I327" s="19"/>
      <c r="J327" s="19"/>
      <c r="K327" s="171"/>
      <c r="L327" s="163"/>
      <c r="M327" s="15"/>
      <c r="N327" s="15"/>
      <c r="O327" s="15"/>
      <c r="P327" s="165"/>
      <c r="Q327" s="163"/>
      <c r="R327" s="15"/>
      <c r="S327" s="165"/>
      <c r="T327" s="188"/>
      <c r="U327" s="188"/>
      <c r="V327" s="16">
        <v>363.33</v>
      </c>
      <c r="W327" s="15" t="s">
        <v>585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67"/>
      <c r="AM327" s="15"/>
      <c r="AN327" s="24"/>
      <c r="AO327" s="24"/>
      <c r="AP327" s="24"/>
      <c r="AQ327" s="24"/>
      <c r="AR327" s="24"/>
      <c r="AS327" s="25"/>
      <c r="AT327" s="25"/>
      <c r="AU327" s="167"/>
      <c r="AV327" s="15"/>
      <c r="AW327" s="24"/>
      <c r="AX327" s="268"/>
      <c r="AY327" s="268"/>
      <c r="AZ327" s="24"/>
      <c r="BA327" s="168"/>
      <c r="BB327" s="24"/>
      <c r="BC327" s="24"/>
      <c r="BD327" s="24"/>
      <c r="BE327" s="24"/>
      <c r="BF327" s="24"/>
      <c r="BG327" s="24"/>
      <c r="BH327" s="16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69" t="s">
        <v>37</v>
      </c>
      <c r="D328" s="120">
        <v>6.992</v>
      </c>
      <c r="E328" s="120">
        <f>D328*4</f>
        <v>27.968</v>
      </c>
      <c r="F328" s="120">
        <f>E328*8</f>
        <v>223.744</v>
      </c>
      <c r="G328" s="120"/>
      <c r="H328" s="170"/>
      <c r="I328" s="19"/>
      <c r="J328" s="19"/>
      <c r="K328" s="171"/>
      <c r="L328" s="163">
        <v>2.6070000000000002</v>
      </c>
      <c r="M328" s="15">
        <v>2.657</v>
      </c>
      <c r="N328" s="15">
        <v>2E-3</v>
      </c>
      <c r="O328" s="15">
        <v>0.21299999999999999</v>
      </c>
      <c r="P328" s="165">
        <f t="shared" si="93"/>
        <v>5.4790000000000001</v>
      </c>
      <c r="Q328" s="163">
        <v>0.24399999999999999</v>
      </c>
      <c r="R328" s="15">
        <v>5.0000000000000001E-3</v>
      </c>
      <c r="S328" s="165">
        <f t="shared" si="94"/>
        <v>0.249</v>
      </c>
      <c r="T328" s="188"/>
      <c r="U328" s="166" t="s">
        <v>535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67"/>
      <c r="AM328" s="127" t="s">
        <v>20</v>
      </c>
      <c r="AN328" s="121" t="str">
        <f>AO328</f>
        <v>D</v>
      </c>
      <c r="AO328" s="121" t="s">
        <v>21</v>
      </c>
      <c r="AP328" s="338">
        <v>45532</v>
      </c>
      <c r="AQ328" s="338">
        <f t="shared" ref="AQ328" si="117">AR328-4</f>
        <v>45607</v>
      </c>
      <c r="AR328" s="338">
        <f t="shared" ref="AR328" si="118">AS328-4</f>
        <v>45611</v>
      </c>
      <c r="AS328" s="507">
        <v>45615</v>
      </c>
      <c r="AT328" s="25" t="s">
        <v>592</v>
      </c>
      <c r="AU328" s="167"/>
      <c r="AV328" s="127" t="s">
        <v>20</v>
      </c>
      <c r="AW328" s="15" t="s">
        <v>543</v>
      </c>
      <c r="AX328" s="268">
        <f>AY328</f>
        <v>45691</v>
      </c>
      <c r="AY328" s="268">
        <v>45691</v>
      </c>
      <c r="AZ328" s="172" t="s">
        <v>538</v>
      </c>
      <c r="BA328" s="173"/>
      <c r="BB328" s="127" t="s">
        <v>20</v>
      </c>
      <c r="BC328" s="121"/>
      <c r="BD328" s="121" t="s">
        <v>21</v>
      </c>
      <c r="BE328" s="269">
        <f>BF328-2</f>
        <v>45711</v>
      </c>
      <c r="BF328" s="269">
        <v>45713</v>
      </c>
      <c r="BG328" s="17" t="s">
        <v>547</v>
      </c>
      <c r="BH328" s="177"/>
      <c r="BI328" s="127" t="s">
        <v>20</v>
      </c>
      <c r="BJ328" s="121">
        <v>45804</v>
      </c>
      <c r="BK328" s="121">
        <v>45804</v>
      </c>
      <c r="BL328" s="25">
        <v>1330</v>
      </c>
      <c r="BM328" s="24" t="s">
        <v>586</v>
      </c>
    </row>
    <row r="329" spans="1:65" ht="14.25" customHeight="1">
      <c r="A329" s="15" t="s">
        <v>0</v>
      </c>
      <c r="B329" s="19"/>
      <c r="C329" s="169"/>
      <c r="D329" s="120"/>
      <c r="E329" s="120"/>
      <c r="F329" s="120"/>
      <c r="G329" s="120"/>
      <c r="H329" s="170"/>
      <c r="I329" s="19"/>
      <c r="J329" s="19"/>
      <c r="K329" s="171"/>
      <c r="L329" s="163"/>
      <c r="M329" s="15"/>
      <c r="N329" s="15"/>
      <c r="O329" s="15"/>
      <c r="P329" s="165"/>
      <c r="Q329" s="163"/>
      <c r="R329" s="15"/>
      <c r="S329" s="165"/>
      <c r="T329" s="188"/>
      <c r="U329" s="188"/>
      <c r="V329" s="16">
        <v>370.25</v>
      </c>
      <c r="W329" s="15" t="s">
        <v>585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67"/>
      <c r="AM329" s="15"/>
      <c r="AN329" s="24"/>
      <c r="AO329" s="24"/>
      <c r="AP329" s="24"/>
      <c r="AQ329" s="24"/>
      <c r="AR329" s="24"/>
      <c r="AS329" s="25"/>
      <c r="AT329" s="25"/>
      <c r="AU329" s="167"/>
      <c r="AV329" s="15"/>
      <c r="AW329" s="24"/>
      <c r="AX329" s="268"/>
      <c r="AY329" s="268"/>
      <c r="AZ329" s="24"/>
      <c r="BA329" s="167"/>
      <c r="BB329" s="24"/>
      <c r="BC329" s="24"/>
      <c r="BD329" s="24"/>
      <c r="BE329" s="24"/>
      <c r="BF329" s="24"/>
      <c r="BG329" s="24"/>
      <c r="BH329" s="16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69" t="s">
        <v>42</v>
      </c>
      <c r="D330" s="120">
        <v>6.3620000000000001</v>
      </c>
      <c r="E330" s="120">
        <f>D330*4</f>
        <v>25.448</v>
      </c>
      <c r="F330" s="120">
        <f>E330*8</f>
        <v>203.584</v>
      </c>
      <c r="G330" s="120"/>
      <c r="H330" s="170"/>
      <c r="I330" s="19"/>
      <c r="J330" s="19"/>
      <c r="K330" s="171"/>
      <c r="L330" s="163">
        <v>2.25</v>
      </c>
      <c r="M330" s="15">
        <v>2.1880000000000002</v>
      </c>
      <c r="N330" s="15">
        <v>2E-3</v>
      </c>
      <c r="O330" s="15">
        <v>0.183</v>
      </c>
      <c r="P330" s="165">
        <f t="shared" si="93"/>
        <v>4.6230000000000002</v>
      </c>
      <c r="Q330" s="163">
        <v>0.24399999999999999</v>
      </c>
      <c r="R330" s="15">
        <v>5.0000000000000001E-3</v>
      </c>
      <c r="S330" s="165">
        <f t="shared" ref="S330:S392" si="119">SUM(Q330:R330)</f>
        <v>0.249</v>
      </c>
      <c r="T330" s="188"/>
      <c r="U330" s="166" t="s">
        <v>535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67"/>
      <c r="AM330" s="127" t="s">
        <v>20</v>
      </c>
      <c r="AN330" s="121" t="str">
        <f>AO330</f>
        <v>D</v>
      </c>
      <c r="AO330" s="121" t="s">
        <v>21</v>
      </c>
      <c r="AP330" s="338">
        <v>45695</v>
      </c>
      <c r="AQ330" s="338">
        <f t="shared" ref="AQ330" si="121">AR330-3</f>
        <v>45701</v>
      </c>
      <c r="AR330" s="338">
        <f t="shared" ref="AR330" si="122">AS330-3</f>
        <v>45704</v>
      </c>
      <c r="AS330" s="507">
        <v>45707</v>
      </c>
      <c r="AT330" s="25" t="s">
        <v>588</v>
      </c>
      <c r="AU330" s="167"/>
      <c r="AV330" s="127" t="s">
        <v>20</v>
      </c>
      <c r="AW330" s="15" t="s">
        <v>543</v>
      </c>
      <c r="AX330" s="268">
        <f>AY330</f>
        <v>45719</v>
      </c>
      <c r="AY330" s="268">
        <v>45719</v>
      </c>
      <c r="AZ330" s="172" t="s">
        <v>588</v>
      </c>
      <c r="BA330" s="167"/>
      <c r="BB330" s="127" t="s">
        <v>20</v>
      </c>
      <c r="BC330" s="121"/>
      <c r="BD330" s="121" t="s">
        <v>21</v>
      </c>
      <c r="BE330" s="269">
        <f>BF330-2</f>
        <v>45787</v>
      </c>
      <c r="BF330" s="269">
        <v>45789</v>
      </c>
      <c r="BG330" s="17" t="s">
        <v>593</v>
      </c>
      <c r="BH330" s="124"/>
      <c r="BI330" s="127" t="s">
        <v>20</v>
      </c>
      <c r="BJ330" s="121">
        <v>45804</v>
      </c>
      <c r="BK330" s="121">
        <v>45804</v>
      </c>
      <c r="BL330" s="25">
        <v>980</v>
      </c>
      <c r="BM330" s="24" t="s">
        <v>586</v>
      </c>
    </row>
    <row r="331" spans="1:65" ht="14.25" customHeight="1">
      <c r="A331" s="15" t="s">
        <v>0</v>
      </c>
      <c r="B331" s="19"/>
      <c r="C331" s="169"/>
      <c r="D331" s="120"/>
      <c r="E331" s="120"/>
      <c r="F331" s="120"/>
      <c r="G331" s="120"/>
      <c r="H331" s="170"/>
      <c r="I331" s="19"/>
      <c r="J331" s="19"/>
      <c r="K331" s="171"/>
      <c r="L331" s="163"/>
      <c r="M331" s="15"/>
      <c r="N331" s="15"/>
      <c r="O331" s="15"/>
      <c r="P331" s="165"/>
      <c r="Q331" s="163"/>
      <c r="R331" s="15"/>
      <c r="S331" s="165"/>
      <c r="T331" s="188"/>
      <c r="U331" s="188"/>
      <c r="V331" s="16">
        <v>330.02</v>
      </c>
      <c r="W331" s="15" t="s">
        <v>564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67"/>
      <c r="AM331" s="15"/>
      <c r="AN331" s="24"/>
      <c r="AO331" s="24"/>
      <c r="AP331" s="24"/>
      <c r="AQ331" s="24"/>
      <c r="AR331" s="24"/>
      <c r="AS331" s="25"/>
      <c r="AT331" s="25"/>
      <c r="AU331" s="167"/>
      <c r="AV331" s="15"/>
      <c r="AW331" s="24"/>
      <c r="AX331" s="268"/>
      <c r="AY331" s="268"/>
      <c r="AZ331" s="24"/>
      <c r="BA331" s="16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69" t="s">
        <v>37</v>
      </c>
      <c r="D332" s="120">
        <v>6.992</v>
      </c>
      <c r="E332" s="120">
        <f>D332*4</f>
        <v>27.968</v>
      </c>
      <c r="F332" s="120">
        <f>E332*8</f>
        <v>223.744</v>
      </c>
      <c r="G332" s="120"/>
      <c r="H332" s="170"/>
      <c r="I332" s="19"/>
      <c r="J332" s="19"/>
      <c r="K332" s="171"/>
      <c r="L332" s="163">
        <v>2.6070000000000002</v>
      </c>
      <c r="M332" s="15">
        <v>2.657</v>
      </c>
      <c r="N332" s="15">
        <v>2E-3</v>
      </c>
      <c r="O332" s="15">
        <v>0.21299999999999999</v>
      </c>
      <c r="P332" s="165">
        <f t="shared" ref="P332:P394" si="123">SUM(L332:O332)</f>
        <v>5.4790000000000001</v>
      </c>
      <c r="Q332" s="163">
        <v>0.24399999999999999</v>
      </c>
      <c r="R332" s="15">
        <v>5.0000000000000001E-3</v>
      </c>
      <c r="S332" s="165">
        <f t="shared" si="119"/>
        <v>0.249</v>
      </c>
      <c r="T332" s="188"/>
      <c r="U332" s="166" t="s">
        <v>535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67"/>
      <c r="AM332" s="127" t="s">
        <v>20</v>
      </c>
      <c r="AN332" s="121" t="str">
        <f>AO332</f>
        <v>D</v>
      </c>
      <c r="AO332" s="121" t="s">
        <v>21</v>
      </c>
      <c r="AP332" s="338">
        <v>45557</v>
      </c>
      <c r="AQ332" s="338">
        <v>45578</v>
      </c>
      <c r="AR332" s="338">
        <v>45582</v>
      </c>
      <c r="AS332" s="507">
        <v>45586</v>
      </c>
      <c r="AT332" s="25" t="s">
        <v>592</v>
      </c>
      <c r="AU332" s="167"/>
      <c r="AV332" s="127" t="s">
        <v>20</v>
      </c>
      <c r="AW332" s="15" t="s">
        <v>6</v>
      </c>
      <c r="AX332" s="268">
        <v>45662</v>
      </c>
      <c r="AY332" s="268">
        <v>45662</v>
      </c>
      <c r="AZ332" s="172" t="s">
        <v>588</v>
      </c>
      <c r="BA332" s="167"/>
      <c r="BB332" s="127" t="s">
        <v>20</v>
      </c>
      <c r="BC332" s="121"/>
      <c r="BD332" s="121" t="s">
        <v>21</v>
      </c>
      <c r="BE332" s="269">
        <f>BF332-2</f>
        <v>45719</v>
      </c>
      <c r="BF332" s="269">
        <v>45721</v>
      </c>
      <c r="BG332" s="17" t="s">
        <v>505</v>
      </c>
      <c r="BH332" s="124"/>
      <c r="BI332" s="127" t="s">
        <v>20</v>
      </c>
      <c r="BJ332" s="121">
        <f>BK332</f>
        <v>45807</v>
      </c>
      <c r="BK332" s="121">
        <v>45807</v>
      </c>
      <c r="BL332" s="25">
        <v>1330</v>
      </c>
      <c r="BM332" s="24" t="s">
        <v>586</v>
      </c>
    </row>
    <row r="333" spans="1:65" ht="14.25" customHeight="1">
      <c r="A333" s="15" t="s">
        <v>0</v>
      </c>
      <c r="B333" s="19"/>
      <c r="C333" s="169"/>
      <c r="D333" s="120"/>
      <c r="E333" s="120"/>
      <c r="F333" s="120"/>
      <c r="G333" s="120"/>
      <c r="H333" s="170"/>
      <c r="I333" s="19"/>
      <c r="J333" s="19"/>
      <c r="K333" s="171"/>
      <c r="L333" s="163"/>
      <c r="M333" s="15"/>
      <c r="N333" s="15"/>
      <c r="O333" s="15"/>
      <c r="P333" s="165"/>
      <c r="Q333" s="163"/>
      <c r="R333" s="15"/>
      <c r="S333" s="165"/>
      <c r="T333" s="188"/>
      <c r="U333" s="188"/>
      <c r="V333" s="16">
        <v>390.08</v>
      </c>
      <c r="W333" s="15" t="s">
        <v>536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67"/>
      <c r="AM333" s="15"/>
      <c r="AN333" s="24"/>
      <c r="AO333" s="24"/>
      <c r="AP333" s="24"/>
      <c r="AQ333" s="24"/>
      <c r="AR333" s="24"/>
      <c r="AS333" s="25"/>
      <c r="AT333" s="25"/>
      <c r="AU333" s="167"/>
      <c r="AV333" s="15"/>
      <c r="AW333" s="24"/>
      <c r="AX333" s="268"/>
      <c r="AY333" s="268"/>
      <c r="AZ333" s="24"/>
      <c r="BA333" s="16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69" t="s">
        <v>37</v>
      </c>
      <c r="D334" s="120">
        <v>6.992</v>
      </c>
      <c r="E334" s="120">
        <f>D334*4</f>
        <v>27.968</v>
      </c>
      <c r="F334" s="120">
        <f>E334*8</f>
        <v>223.744</v>
      </c>
      <c r="G334" s="120"/>
      <c r="H334" s="170"/>
      <c r="I334" s="19"/>
      <c r="J334" s="19"/>
      <c r="K334" s="171"/>
      <c r="L334" s="163">
        <v>2.6070000000000002</v>
      </c>
      <c r="M334" s="15">
        <v>2.657</v>
      </c>
      <c r="N334" s="15">
        <v>2E-3</v>
      </c>
      <c r="O334" s="15">
        <v>0.21299999999999999</v>
      </c>
      <c r="P334" s="165">
        <f t="shared" si="123"/>
        <v>5.4790000000000001</v>
      </c>
      <c r="Q334" s="163">
        <v>0.24399999999999999</v>
      </c>
      <c r="R334" s="15">
        <v>5.0000000000000001E-3</v>
      </c>
      <c r="S334" s="165">
        <f t="shared" si="119"/>
        <v>0.249</v>
      </c>
      <c r="T334" s="188"/>
      <c r="U334" s="166" t="s">
        <v>535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67"/>
      <c r="AM334" s="127" t="s">
        <v>20</v>
      </c>
      <c r="AN334" s="121" t="s">
        <v>21</v>
      </c>
      <c r="AO334" s="121" t="s">
        <v>21</v>
      </c>
      <c r="AP334" s="338">
        <f t="shared" ref="AP334" si="124">AQ334-2</f>
        <v>45768</v>
      </c>
      <c r="AQ334" s="338">
        <f t="shared" ref="AQ334" si="125">AR334-2</f>
        <v>45770</v>
      </c>
      <c r="AR334" s="338">
        <f t="shared" ref="AR334" si="126">AS334-2</f>
        <v>45772</v>
      </c>
      <c r="AS334" s="507">
        <v>45774</v>
      </c>
      <c r="AT334" s="15" t="s">
        <v>560</v>
      </c>
      <c r="AU334" s="167"/>
      <c r="AV334" s="127" t="s">
        <v>20</v>
      </c>
      <c r="AW334" s="15" t="s">
        <v>6</v>
      </c>
      <c r="AX334" s="268">
        <f>AY334-0</f>
        <v>45782</v>
      </c>
      <c r="AY334" s="268">
        <v>45782</v>
      </c>
      <c r="AZ334" s="19" t="s">
        <v>560</v>
      </c>
      <c r="BA334" s="167"/>
      <c r="BB334" s="127" t="s">
        <v>20</v>
      </c>
      <c r="BC334" s="121"/>
      <c r="BD334" s="121" t="s">
        <v>21</v>
      </c>
      <c r="BE334" s="269">
        <f>BF334-2</f>
        <v>45794</v>
      </c>
      <c r="BF334" s="269">
        <v>45796</v>
      </c>
      <c r="BG334" s="17" t="s">
        <v>593</v>
      </c>
      <c r="BH334" s="15"/>
      <c r="BI334" s="127" t="s">
        <v>20</v>
      </c>
      <c r="BJ334" s="121">
        <f>BK334</f>
        <v>45807</v>
      </c>
      <c r="BK334" s="121">
        <f>BK332</f>
        <v>45807</v>
      </c>
      <c r="BL334" s="25">
        <v>1330</v>
      </c>
      <c r="BM334" s="24" t="s">
        <v>586</v>
      </c>
    </row>
    <row r="335" spans="1:65" ht="14.25" customHeight="1">
      <c r="A335" s="15" t="s">
        <v>0</v>
      </c>
      <c r="B335" s="19"/>
      <c r="C335" s="169"/>
      <c r="D335" s="120"/>
      <c r="E335" s="120"/>
      <c r="F335" s="120"/>
      <c r="G335" s="120"/>
      <c r="H335" s="170"/>
      <c r="I335" s="19"/>
      <c r="J335" s="19"/>
      <c r="K335" s="171"/>
      <c r="L335" s="163"/>
      <c r="M335" s="15"/>
      <c r="N335" s="15"/>
      <c r="O335" s="15"/>
      <c r="P335" s="165"/>
      <c r="Q335" s="163"/>
      <c r="R335" s="15"/>
      <c r="S335" s="165"/>
      <c r="T335" s="188"/>
      <c r="U335" s="188"/>
      <c r="V335" s="16">
        <v>343.38</v>
      </c>
      <c r="W335" s="15" t="s">
        <v>499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67"/>
      <c r="AM335" s="15"/>
      <c r="AN335" s="24"/>
      <c r="AO335" s="24"/>
      <c r="AP335" s="24"/>
      <c r="AQ335" s="24"/>
      <c r="AR335" s="24"/>
      <c r="AS335" s="25"/>
      <c r="AT335" s="25"/>
      <c r="AU335" s="167"/>
      <c r="AV335" s="15"/>
      <c r="AW335" s="24"/>
      <c r="AX335" s="268"/>
      <c r="AY335" s="268"/>
      <c r="AZ335" s="24"/>
      <c r="BA335" s="16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69" t="s">
        <v>46</v>
      </c>
      <c r="D336" s="120">
        <v>8.6259999999999994</v>
      </c>
      <c r="E336" s="120">
        <f>D336*4</f>
        <v>34.503999999999998</v>
      </c>
      <c r="F336" s="120">
        <f>E336*8</f>
        <v>276.03199999999998</v>
      </c>
      <c r="G336" s="120"/>
      <c r="H336" s="170"/>
      <c r="I336" s="19"/>
      <c r="J336" s="19"/>
      <c r="K336" s="171"/>
      <c r="L336" s="16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65">
        <f t="shared" si="123"/>
        <v>8.2024000000000008</v>
      </c>
      <c r="Q336" s="163">
        <v>0.436</v>
      </c>
      <c r="R336" s="15">
        <v>0.01</v>
      </c>
      <c r="S336" s="165">
        <f t="shared" si="119"/>
        <v>0.44600000000000001</v>
      </c>
      <c r="T336" s="188" t="s">
        <v>245</v>
      </c>
      <c r="U336" s="166" t="s">
        <v>535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67"/>
      <c r="AM336" s="127" t="s">
        <v>20</v>
      </c>
      <c r="AN336" s="121" t="s">
        <v>546</v>
      </c>
      <c r="AO336" s="121" t="s">
        <v>21</v>
      </c>
      <c r="AP336" s="338">
        <f>AQ336-2</f>
        <v>45632</v>
      </c>
      <c r="AQ336" s="338">
        <f>AR336-1</f>
        <v>45634</v>
      </c>
      <c r="AR336" s="338">
        <f>AS336-2</f>
        <v>45635</v>
      </c>
      <c r="AS336" s="507">
        <v>45637</v>
      </c>
      <c r="AT336" s="25" t="s">
        <v>592</v>
      </c>
      <c r="AU336" s="167"/>
      <c r="AV336" s="127" t="s">
        <v>20</v>
      </c>
      <c r="AW336" s="15" t="s">
        <v>6</v>
      </c>
      <c r="AX336" s="268">
        <v>45660</v>
      </c>
      <c r="AY336" s="268">
        <f>AX336</f>
        <v>45660</v>
      </c>
      <c r="AZ336" s="24" t="s">
        <v>592</v>
      </c>
      <c r="BA336" s="167"/>
      <c r="BB336" s="127" t="s">
        <v>20</v>
      </c>
      <c r="BC336" s="121"/>
      <c r="BD336" s="121" t="s">
        <v>21</v>
      </c>
      <c r="BE336" s="269">
        <f>BF336-2</f>
        <v>45714</v>
      </c>
      <c r="BF336" s="269">
        <v>45716</v>
      </c>
      <c r="BG336" s="17" t="s">
        <v>505</v>
      </c>
      <c r="BH336" s="15"/>
      <c r="BI336" s="127" t="s">
        <v>20</v>
      </c>
      <c r="BJ336" s="121">
        <v>45808</v>
      </c>
      <c r="BK336" s="121">
        <v>45808</v>
      </c>
      <c r="BL336" s="25">
        <v>1433</v>
      </c>
      <c r="BM336" s="24" t="s">
        <v>586</v>
      </c>
    </row>
    <row r="337" spans="1:65" ht="14.25" customHeight="1">
      <c r="A337" s="15" t="s">
        <v>0</v>
      </c>
      <c r="B337" s="19"/>
      <c r="C337" s="169"/>
      <c r="D337" s="120"/>
      <c r="E337" s="120"/>
      <c r="F337" s="120"/>
      <c r="G337" s="120"/>
      <c r="H337" s="170"/>
      <c r="I337" s="19"/>
      <c r="J337" s="19"/>
      <c r="K337" s="171"/>
      <c r="L337" s="163"/>
      <c r="M337" s="15"/>
      <c r="N337" s="15"/>
      <c r="O337" s="15"/>
      <c r="P337" s="165"/>
      <c r="Q337" s="163"/>
      <c r="R337" s="15"/>
      <c r="S337" s="165"/>
      <c r="T337" s="188"/>
      <c r="U337" s="188"/>
      <c r="V337" s="16">
        <v>326.52999999999997</v>
      </c>
      <c r="W337" s="15" t="s">
        <v>536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67"/>
      <c r="AM337" s="15"/>
      <c r="AN337" s="24"/>
      <c r="AO337" s="24"/>
      <c r="AP337" s="24"/>
      <c r="AQ337" s="24"/>
      <c r="AR337" s="24"/>
      <c r="AS337" s="25"/>
      <c r="AT337" s="25"/>
      <c r="AU337" s="168"/>
      <c r="AV337" s="15"/>
      <c r="AW337" s="24"/>
      <c r="AX337" s="268"/>
      <c r="AY337" s="268"/>
      <c r="AZ337" s="24"/>
      <c r="BA337" s="167"/>
      <c r="BB337" s="15"/>
      <c r="BC337" s="24"/>
      <c r="BD337" s="24"/>
      <c r="BE337" s="25"/>
      <c r="BF337" s="25"/>
      <c r="BG337" s="25"/>
      <c r="BH337" s="18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69" t="s">
        <v>37</v>
      </c>
      <c r="D338" s="120">
        <v>6.992</v>
      </c>
      <c r="E338" s="120">
        <f>D338*4</f>
        <v>27.968</v>
      </c>
      <c r="F338" s="120">
        <f>E338*8</f>
        <v>223.744</v>
      </c>
      <c r="G338" s="120"/>
      <c r="H338" s="170"/>
      <c r="I338" s="19"/>
      <c r="J338" s="19"/>
      <c r="K338" s="171"/>
      <c r="L338" s="163">
        <v>2.6070000000000002</v>
      </c>
      <c r="M338" s="15">
        <v>2.657</v>
      </c>
      <c r="N338" s="15">
        <v>2E-3</v>
      </c>
      <c r="O338" s="15">
        <v>0.21299999999999999</v>
      </c>
      <c r="P338" s="165">
        <f t="shared" si="123"/>
        <v>5.4790000000000001</v>
      </c>
      <c r="Q338" s="163">
        <v>0.24399999999999999</v>
      </c>
      <c r="R338" s="15">
        <v>5.0000000000000001E-3</v>
      </c>
      <c r="S338" s="165">
        <f t="shared" si="119"/>
        <v>0.249</v>
      </c>
      <c r="T338" s="188" t="s">
        <v>31</v>
      </c>
      <c r="U338" s="166" t="s">
        <v>535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27" t="s">
        <v>20</v>
      </c>
      <c r="AN338" s="121" t="str">
        <f>AO338</f>
        <v>D</v>
      </c>
      <c r="AO338" s="121" t="s">
        <v>21</v>
      </c>
      <c r="AP338" s="338">
        <f t="shared" ref="AP338" si="127">AQ338-2</f>
        <v>45639</v>
      </c>
      <c r="AQ338" s="338">
        <f t="shared" ref="AQ338" si="128">AR338-2</f>
        <v>45641</v>
      </c>
      <c r="AR338" s="338">
        <f t="shared" ref="AR338" si="129">AS338-2</f>
        <v>45643</v>
      </c>
      <c r="AS338" s="507">
        <v>45645</v>
      </c>
      <c r="AT338" s="25" t="s">
        <v>592</v>
      </c>
      <c r="AU338" s="168"/>
      <c r="AV338" s="127" t="s">
        <v>20</v>
      </c>
      <c r="AW338" s="15" t="s">
        <v>6</v>
      </c>
      <c r="AX338" s="268">
        <v>45660</v>
      </c>
      <c r="AY338" s="268">
        <f>AX338</f>
        <v>45660</v>
      </c>
      <c r="AZ338" s="24" t="s">
        <v>592</v>
      </c>
      <c r="BA338" s="167"/>
      <c r="BB338" s="127" t="s">
        <v>20</v>
      </c>
      <c r="BC338" s="121"/>
      <c r="BD338" s="121" t="s">
        <v>21</v>
      </c>
      <c r="BE338" s="269">
        <f>BF338-2</f>
        <v>45715</v>
      </c>
      <c r="BF338" s="269">
        <v>45717</v>
      </c>
      <c r="BG338" s="17" t="s">
        <v>505</v>
      </c>
      <c r="BH338" s="179"/>
      <c r="BI338" s="127" t="s">
        <v>20</v>
      </c>
      <c r="BJ338" s="121">
        <v>45808</v>
      </c>
      <c r="BK338" s="121">
        <v>45808</v>
      </c>
      <c r="BL338" s="25">
        <v>1330</v>
      </c>
      <c r="BM338" s="24" t="s">
        <v>586</v>
      </c>
    </row>
    <row r="339" spans="1:65" ht="14.25" customHeight="1">
      <c r="A339" s="15" t="s">
        <v>0</v>
      </c>
      <c r="B339" s="19"/>
      <c r="C339" s="169"/>
      <c r="D339" s="120"/>
      <c r="E339" s="120"/>
      <c r="F339" s="120"/>
      <c r="G339" s="120"/>
      <c r="H339" s="170"/>
      <c r="I339" s="19"/>
      <c r="J339" s="19"/>
      <c r="K339" s="171"/>
      <c r="L339" s="163"/>
      <c r="M339" s="15"/>
      <c r="N339" s="15"/>
      <c r="O339" s="15"/>
      <c r="P339" s="165"/>
      <c r="Q339" s="163"/>
      <c r="R339" s="15"/>
      <c r="S339" s="165"/>
      <c r="T339" s="188"/>
      <c r="U339" s="188"/>
      <c r="V339" s="15">
        <v>302.5</v>
      </c>
      <c r="W339" s="15" t="s">
        <v>536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67"/>
      <c r="AM339" s="15"/>
      <c r="AN339" s="24"/>
      <c r="AO339" s="24"/>
      <c r="AP339" s="24"/>
      <c r="AQ339" s="24"/>
      <c r="AR339" s="24"/>
      <c r="AS339" s="25"/>
      <c r="AT339" s="25"/>
      <c r="AU339" s="168"/>
      <c r="AV339" s="15"/>
      <c r="AW339" s="24"/>
      <c r="AX339" s="268"/>
      <c r="AY339" s="268"/>
      <c r="AZ339" s="24"/>
      <c r="BA339" s="168"/>
      <c r="BB339" s="15"/>
      <c r="BC339" s="24"/>
      <c r="BD339" s="24"/>
      <c r="BE339" s="25"/>
      <c r="BF339" s="25"/>
      <c r="BG339" s="25"/>
      <c r="BH339" s="18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69" t="s">
        <v>37</v>
      </c>
      <c r="D340" s="120">
        <v>6.992</v>
      </c>
      <c r="E340" s="120">
        <f>D340*4</f>
        <v>27.968</v>
      </c>
      <c r="F340" s="120">
        <f>E340*8</f>
        <v>223.744</v>
      </c>
      <c r="G340" s="120"/>
      <c r="H340" s="170"/>
      <c r="I340" s="19"/>
      <c r="J340" s="19"/>
      <c r="K340" s="171"/>
      <c r="L340" s="163">
        <v>2.6070000000000002</v>
      </c>
      <c r="M340" s="15">
        <v>2.657</v>
      </c>
      <c r="N340" s="15">
        <v>2E-3</v>
      </c>
      <c r="O340" s="15">
        <v>0.21299999999999999</v>
      </c>
      <c r="P340" s="165">
        <f t="shared" si="123"/>
        <v>5.4790000000000001</v>
      </c>
      <c r="Q340" s="163">
        <v>0.24399999999999999</v>
      </c>
      <c r="R340" s="15">
        <v>5.0000000000000001E-3</v>
      </c>
      <c r="S340" s="165">
        <f t="shared" si="119"/>
        <v>0.249</v>
      </c>
      <c r="T340" s="188" t="s">
        <v>31</v>
      </c>
      <c r="U340" s="166" t="s">
        <v>535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67"/>
      <c r="AM340" s="127" t="s">
        <v>20</v>
      </c>
      <c r="AN340" s="121" t="str">
        <f>AO340</f>
        <v>D</v>
      </c>
      <c r="AO340" s="121" t="s">
        <v>21</v>
      </c>
      <c r="AP340" s="338">
        <v>45526</v>
      </c>
      <c r="AQ340" s="338">
        <v>45560</v>
      </c>
      <c r="AR340" s="338">
        <v>45570</v>
      </c>
      <c r="AS340" s="507">
        <v>45574</v>
      </c>
      <c r="AT340" s="25" t="s">
        <v>592</v>
      </c>
      <c r="AU340" s="168"/>
      <c r="AV340" s="127" t="s">
        <v>20</v>
      </c>
      <c r="AW340" s="15" t="s">
        <v>6</v>
      </c>
      <c r="AX340" s="268">
        <v>45662</v>
      </c>
      <c r="AY340" s="268">
        <v>45662</v>
      </c>
      <c r="AZ340" s="172" t="s">
        <v>588</v>
      </c>
      <c r="BA340" s="173"/>
      <c r="BB340" s="127" t="s">
        <v>20</v>
      </c>
      <c r="BC340" s="121"/>
      <c r="BD340" s="121" t="s">
        <v>21</v>
      </c>
      <c r="BE340" s="269">
        <f>BF340-1</f>
        <v>45713</v>
      </c>
      <c r="BF340" s="269">
        <v>45714</v>
      </c>
      <c r="BG340" s="17" t="s">
        <v>505</v>
      </c>
      <c r="BH340" s="167"/>
      <c r="BI340" s="127" t="s">
        <v>20</v>
      </c>
      <c r="BJ340" s="121">
        <v>45808</v>
      </c>
      <c r="BK340" s="121">
        <v>45808</v>
      </c>
      <c r="BL340" s="25">
        <v>1330</v>
      </c>
      <c r="BM340" s="24" t="s">
        <v>586</v>
      </c>
    </row>
    <row r="341" spans="1:65" ht="14.25" customHeight="1">
      <c r="A341" s="15" t="s">
        <v>0</v>
      </c>
      <c r="B341" s="19"/>
      <c r="C341" s="169"/>
      <c r="D341" s="120"/>
      <c r="E341" s="120"/>
      <c r="F341" s="120"/>
      <c r="G341" s="120"/>
      <c r="H341" s="170"/>
      <c r="I341" s="19"/>
      <c r="J341" s="19"/>
      <c r="K341" s="171"/>
      <c r="L341" s="163"/>
      <c r="M341" s="15"/>
      <c r="N341" s="15"/>
      <c r="O341" s="15"/>
      <c r="P341" s="165"/>
      <c r="Q341" s="163"/>
      <c r="R341" s="15"/>
      <c r="S341" s="165"/>
      <c r="T341" s="188"/>
      <c r="U341" s="188"/>
      <c r="V341" s="15">
        <v>318.2</v>
      </c>
      <c r="W341" s="15" t="s">
        <v>536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67"/>
      <c r="AM341" s="15"/>
      <c r="AN341" s="24"/>
      <c r="AO341" s="24"/>
      <c r="AP341" s="24"/>
      <c r="AQ341" s="24"/>
      <c r="AR341" s="24"/>
      <c r="AS341" s="25"/>
      <c r="AT341" s="25"/>
      <c r="AU341" s="168"/>
      <c r="AV341" s="15"/>
      <c r="AW341" s="24"/>
      <c r="AX341" s="268"/>
      <c r="AY341" s="268"/>
      <c r="AZ341" s="24"/>
      <c r="BA341" s="168"/>
      <c r="BB341" s="15"/>
      <c r="BC341" s="24"/>
      <c r="BD341" s="24"/>
      <c r="BE341" s="24"/>
      <c r="BF341" s="24"/>
      <c r="BG341" s="24"/>
      <c r="BH341" s="16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69" t="s">
        <v>39</v>
      </c>
      <c r="D342" s="120">
        <v>7.7080000000000002</v>
      </c>
      <c r="E342" s="120">
        <f>D342*4</f>
        <v>30.832000000000001</v>
      </c>
      <c r="F342" s="120">
        <f>E342*8</f>
        <v>246.65600000000001</v>
      </c>
      <c r="G342" s="120"/>
      <c r="H342" s="170"/>
      <c r="I342" s="19"/>
      <c r="J342" s="19"/>
      <c r="K342" s="171"/>
      <c r="L342" s="163">
        <v>4.0570000000000004</v>
      </c>
      <c r="M342" s="15">
        <v>2.48</v>
      </c>
      <c r="N342" s="15">
        <v>6.0000000000000001E-3</v>
      </c>
      <c r="O342" s="15">
        <v>0.36499999999999999</v>
      </c>
      <c r="P342" s="165">
        <f t="shared" si="123"/>
        <v>6.9080000000000013</v>
      </c>
      <c r="Q342" s="163">
        <v>0.436</v>
      </c>
      <c r="R342" s="15">
        <v>0.01</v>
      </c>
      <c r="S342" s="165">
        <f t="shared" si="119"/>
        <v>0.44600000000000001</v>
      </c>
      <c r="T342" s="188" t="s">
        <v>249</v>
      </c>
      <c r="U342" s="166" t="s">
        <v>535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67"/>
      <c r="AM342" s="127" t="s">
        <v>20</v>
      </c>
      <c r="AN342" s="121" t="str">
        <f>AO342</f>
        <v>D</v>
      </c>
      <c r="AO342" s="121" t="s">
        <v>21</v>
      </c>
      <c r="AP342" s="338">
        <v>45688</v>
      </c>
      <c r="AQ342" s="338">
        <f>AR342-1</f>
        <v>45691</v>
      </c>
      <c r="AR342" s="338">
        <f>AS342-2</f>
        <v>45692</v>
      </c>
      <c r="AS342" s="507">
        <v>45694</v>
      </c>
      <c r="AT342" s="25" t="s">
        <v>588</v>
      </c>
      <c r="AU342" s="173"/>
      <c r="AV342" s="127" t="s">
        <v>20</v>
      </c>
      <c r="AW342" s="15" t="s">
        <v>6</v>
      </c>
      <c r="AX342" s="268">
        <f>AS342+10</f>
        <v>45704</v>
      </c>
      <c r="AY342" s="268">
        <f>AX342</f>
        <v>45704</v>
      </c>
      <c r="AZ342" s="19" t="s">
        <v>589</v>
      </c>
      <c r="BA342" s="184"/>
      <c r="BB342" s="127" t="s">
        <v>20</v>
      </c>
      <c r="BC342" s="121"/>
      <c r="BD342" s="121" t="s">
        <v>570</v>
      </c>
      <c r="BE342" s="269">
        <f>BF342-2</f>
        <v>45886</v>
      </c>
      <c r="BF342" s="269">
        <v>45888</v>
      </c>
      <c r="BG342" s="15" t="s">
        <v>594</v>
      </c>
      <c r="BH342" s="167"/>
      <c r="BI342" s="127" t="s">
        <v>20</v>
      </c>
      <c r="BJ342" s="121"/>
      <c r="BK342" s="121"/>
      <c r="BL342" s="25">
        <v>1001</v>
      </c>
      <c r="BM342" s="24"/>
    </row>
    <row r="343" spans="1:65" ht="14.25" customHeight="1">
      <c r="A343" s="15" t="s">
        <v>0</v>
      </c>
      <c r="B343" s="19"/>
      <c r="C343" s="169"/>
      <c r="D343" s="120"/>
      <c r="E343" s="120"/>
      <c r="F343" s="120"/>
      <c r="G343" s="120"/>
      <c r="H343" s="170"/>
      <c r="I343" s="19"/>
      <c r="J343" s="19"/>
      <c r="K343" s="171"/>
      <c r="L343" s="163"/>
      <c r="M343" s="15"/>
      <c r="N343" s="15"/>
      <c r="O343" s="15"/>
      <c r="P343" s="165"/>
      <c r="Q343" s="163"/>
      <c r="R343" s="15"/>
      <c r="S343" s="165"/>
      <c r="T343" s="188"/>
      <c r="U343" s="188"/>
      <c r="V343" s="15">
        <v>315.48</v>
      </c>
      <c r="W343" s="15" t="s">
        <v>499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67"/>
      <c r="AM343" s="15"/>
      <c r="AN343" s="24"/>
      <c r="AO343" s="24"/>
      <c r="AP343" s="24"/>
      <c r="AQ343" s="24"/>
      <c r="AR343" s="24"/>
      <c r="AS343" s="25"/>
      <c r="AT343" s="25"/>
      <c r="AU343" s="168"/>
      <c r="AV343" s="15"/>
      <c r="AW343" s="24"/>
      <c r="AX343" s="268"/>
      <c r="AY343" s="268"/>
      <c r="AZ343" s="24"/>
      <c r="BA343" s="168"/>
      <c r="BB343" s="15"/>
      <c r="BC343" s="24"/>
      <c r="BD343" s="24"/>
      <c r="BE343" s="24"/>
      <c r="BF343" s="24"/>
      <c r="BG343" s="24"/>
      <c r="BH343" s="16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69" t="s">
        <v>42</v>
      </c>
      <c r="D344" s="120">
        <v>6.3620000000000001</v>
      </c>
      <c r="E344" s="120">
        <f>D344*4</f>
        <v>25.448</v>
      </c>
      <c r="F344" s="120">
        <f>E344*8</f>
        <v>203.584</v>
      </c>
      <c r="G344" s="120"/>
      <c r="H344" s="170"/>
      <c r="I344" s="19"/>
      <c r="J344" s="19"/>
      <c r="K344" s="171"/>
      <c r="L344" s="163">
        <v>2.25</v>
      </c>
      <c r="M344" s="15">
        <v>2.1880000000000002</v>
      </c>
      <c r="N344" s="15">
        <v>2E-3</v>
      </c>
      <c r="O344" s="15">
        <v>0.183</v>
      </c>
      <c r="P344" s="165">
        <f t="shared" si="123"/>
        <v>4.6230000000000002</v>
      </c>
      <c r="Q344" s="163">
        <v>0.24399999999999999</v>
      </c>
      <c r="R344" s="15">
        <v>5.0000000000000001E-3</v>
      </c>
      <c r="S344" s="165">
        <f t="shared" si="119"/>
        <v>0.249</v>
      </c>
      <c r="T344" s="188" t="s">
        <v>31</v>
      </c>
      <c r="U344" s="166" t="s">
        <v>535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67"/>
      <c r="AM344" s="127" t="s">
        <v>20</v>
      </c>
      <c r="AN344" s="121" t="str">
        <f>AO344</f>
        <v>D</v>
      </c>
      <c r="AO344" s="121" t="s">
        <v>21</v>
      </c>
      <c r="AP344" s="338">
        <v>45692</v>
      </c>
      <c r="AQ344" s="338">
        <f>AR344-1</f>
        <v>45695</v>
      </c>
      <c r="AR344" s="338">
        <f>AS344-2</f>
        <v>45696</v>
      </c>
      <c r="AS344" s="507">
        <v>45698</v>
      </c>
      <c r="AT344" s="25" t="s">
        <v>588</v>
      </c>
      <c r="AU344" s="173"/>
      <c r="AV344" s="127" t="s">
        <v>20</v>
      </c>
      <c r="AW344" s="15" t="s">
        <v>6</v>
      </c>
      <c r="AX344" s="268">
        <v>45662</v>
      </c>
      <c r="AY344" s="268">
        <v>45662</v>
      </c>
      <c r="AZ344" s="19" t="s">
        <v>589</v>
      </c>
      <c r="BA344" s="184"/>
      <c r="BB344" s="127" t="s">
        <v>20</v>
      </c>
      <c r="BC344" s="121"/>
      <c r="BD344" s="121" t="s">
        <v>21</v>
      </c>
      <c r="BE344" s="269">
        <f>BF344-1</f>
        <v>45721</v>
      </c>
      <c r="BF344" s="269">
        <v>45722</v>
      </c>
      <c r="BG344" s="17" t="s">
        <v>505</v>
      </c>
      <c r="BH344" s="167"/>
      <c r="BI344" s="127" t="s">
        <v>20</v>
      </c>
      <c r="BJ344" s="121">
        <v>45809</v>
      </c>
      <c r="BK344" s="121">
        <v>45809</v>
      </c>
      <c r="BL344" s="25">
        <v>980</v>
      </c>
      <c r="BM344" s="24" t="s">
        <v>586</v>
      </c>
    </row>
    <row r="345" spans="1:65" ht="14.25" customHeight="1">
      <c r="A345" s="15" t="s">
        <v>0</v>
      </c>
      <c r="B345" s="19"/>
      <c r="C345" s="169"/>
      <c r="D345" s="120"/>
      <c r="E345" s="120"/>
      <c r="F345" s="120"/>
      <c r="G345" s="120"/>
      <c r="H345" s="170"/>
      <c r="I345" s="19"/>
      <c r="J345" s="19"/>
      <c r="K345" s="171"/>
      <c r="L345" s="163"/>
      <c r="M345" s="15"/>
      <c r="N345" s="15"/>
      <c r="O345" s="15"/>
      <c r="P345" s="165"/>
      <c r="Q345" s="163"/>
      <c r="R345" s="15"/>
      <c r="S345" s="165"/>
      <c r="T345" s="188"/>
      <c r="U345" s="188"/>
      <c r="V345" s="15">
        <v>249.29</v>
      </c>
      <c r="W345" s="15" t="s">
        <v>499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67"/>
      <c r="AM345" s="15"/>
      <c r="AN345" s="24"/>
      <c r="AO345" s="24"/>
      <c r="AP345" s="24"/>
      <c r="AQ345" s="24"/>
      <c r="AR345" s="24"/>
      <c r="AS345" s="25"/>
      <c r="AT345" s="25"/>
      <c r="AU345" s="168"/>
      <c r="AV345" s="15"/>
      <c r="AW345" s="24"/>
      <c r="AX345" s="268"/>
      <c r="AY345" s="268"/>
      <c r="AZ345" s="24"/>
      <c r="BA345" s="168"/>
      <c r="BB345" s="15"/>
      <c r="BC345" s="24"/>
      <c r="BD345" s="24"/>
      <c r="BE345" s="24"/>
      <c r="BF345" s="24"/>
      <c r="BG345" s="24"/>
      <c r="BH345" s="16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69" t="s">
        <v>42</v>
      </c>
      <c r="D346" s="120">
        <v>6.3620000000000001</v>
      </c>
      <c r="E346" s="120">
        <f>D346*4</f>
        <v>25.448</v>
      </c>
      <c r="F346" s="120">
        <f>E346*8</f>
        <v>203.584</v>
      </c>
      <c r="G346" s="120"/>
      <c r="H346" s="170"/>
      <c r="I346" s="19"/>
      <c r="J346" s="19"/>
      <c r="K346" s="171"/>
      <c r="L346" s="163">
        <v>2.25</v>
      </c>
      <c r="M346" s="15">
        <v>2.1880000000000002</v>
      </c>
      <c r="N346" s="15">
        <v>2E-3</v>
      </c>
      <c r="O346" s="15">
        <v>0.183</v>
      </c>
      <c r="P346" s="165">
        <f t="shared" si="123"/>
        <v>4.6230000000000002</v>
      </c>
      <c r="Q346" s="163">
        <v>0.24399999999999999</v>
      </c>
      <c r="R346" s="15">
        <v>5.0000000000000001E-3</v>
      </c>
      <c r="S346" s="165">
        <f t="shared" si="119"/>
        <v>0.249</v>
      </c>
      <c r="T346" s="188" t="s">
        <v>31</v>
      </c>
      <c r="U346" s="166" t="s">
        <v>535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76"/>
      <c r="AG346" s="176">
        <v>206.46</v>
      </c>
      <c r="AH346" s="176"/>
      <c r="AI346" s="176"/>
      <c r="AJ346" s="176">
        <v>581.69000000000005</v>
      </c>
      <c r="AK346" s="15">
        <v>0.58169000000000004</v>
      </c>
      <c r="AL346" s="167"/>
      <c r="AM346" s="127" t="s">
        <v>20</v>
      </c>
      <c r="AN346" s="121" t="str">
        <f>AO346</f>
        <v>D</v>
      </c>
      <c r="AO346" s="121" t="s">
        <v>21</v>
      </c>
      <c r="AP346" s="338">
        <f>AQ346-3</f>
        <v>45642</v>
      </c>
      <c r="AQ346" s="338">
        <f t="shared" ref="AQ346" si="130">AR346-2</f>
        <v>45645</v>
      </c>
      <c r="AR346" s="338">
        <f t="shared" ref="AR346" si="131">AS346-2</f>
        <v>45647</v>
      </c>
      <c r="AS346" s="507">
        <v>45649</v>
      </c>
      <c r="AT346" s="25" t="s">
        <v>592</v>
      </c>
      <c r="AU346" s="168"/>
      <c r="AV346" s="127" t="s">
        <v>20</v>
      </c>
      <c r="AW346" s="15" t="s">
        <v>6</v>
      </c>
      <c r="AX346" s="268">
        <v>45713</v>
      </c>
      <c r="AY346" s="268">
        <v>45713</v>
      </c>
      <c r="AZ346" s="24" t="s">
        <v>592</v>
      </c>
      <c r="BA346" s="168"/>
      <c r="BB346" s="127" t="s">
        <v>20</v>
      </c>
      <c r="BC346" s="121"/>
      <c r="BD346" s="121" t="s">
        <v>21</v>
      </c>
      <c r="BE346" s="269">
        <f>BF346-1</f>
        <v>45717</v>
      </c>
      <c r="BF346" s="269">
        <v>45718</v>
      </c>
      <c r="BG346" s="17" t="s">
        <v>505</v>
      </c>
      <c r="BH346" s="167"/>
      <c r="BI346" s="127" t="s">
        <v>20</v>
      </c>
      <c r="BJ346" s="121">
        <v>45809</v>
      </c>
      <c r="BK346" s="121">
        <v>45809</v>
      </c>
      <c r="BL346" s="25">
        <v>980</v>
      </c>
      <c r="BM346" s="24" t="s">
        <v>586</v>
      </c>
    </row>
    <row r="347" spans="1:65" ht="14.25" customHeight="1">
      <c r="A347" s="15" t="s">
        <v>0</v>
      </c>
      <c r="B347" s="19"/>
      <c r="C347" s="169"/>
      <c r="D347" s="120"/>
      <c r="E347" s="120"/>
      <c r="F347" s="120"/>
      <c r="G347" s="120"/>
      <c r="H347" s="170"/>
      <c r="I347" s="19"/>
      <c r="J347" s="19"/>
      <c r="K347" s="171"/>
      <c r="L347" s="163"/>
      <c r="M347" s="15"/>
      <c r="N347" s="15"/>
      <c r="O347" s="15"/>
      <c r="P347" s="165"/>
      <c r="Q347" s="163"/>
      <c r="R347" s="15"/>
      <c r="S347" s="165"/>
      <c r="T347" s="188"/>
      <c r="U347" s="188"/>
      <c r="V347" s="15">
        <v>288.05</v>
      </c>
      <c r="W347" s="15" t="s">
        <v>499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67"/>
      <c r="AM347" s="15"/>
      <c r="AN347" s="24"/>
      <c r="AO347" s="24"/>
      <c r="AP347" s="24"/>
      <c r="AQ347" s="24"/>
      <c r="AR347" s="24"/>
      <c r="AS347" s="25"/>
      <c r="AT347" s="25"/>
      <c r="AU347" s="168"/>
      <c r="AV347" s="15"/>
      <c r="AW347" s="24"/>
      <c r="AX347" s="268"/>
      <c r="AY347" s="268"/>
      <c r="AZ347" s="24"/>
      <c r="BA347" s="168"/>
      <c r="BB347" s="15"/>
      <c r="BC347" s="24"/>
      <c r="BD347" s="24"/>
      <c r="BE347" s="24"/>
      <c r="BF347" s="24"/>
      <c r="BG347" s="24"/>
      <c r="BH347" s="16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69" t="s">
        <v>42</v>
      </c>
      <c r="D348" s="120">
        <v>6.3620000000000001</v>
      </c>
      <c r="E348" s="120">
        <f>D348*4</f>
        <v>25.448</v>
      </c>
      <c r="F348" s="120">
        <f>E348*8</f>
        <v>203.584</v>
      </c>
      <c r="G348" s="120"/>
      <c r="H348" s="170"/>
      <c r="I348" s="19"/>
      <c r="J348" s="19"/>
      <c r="K348" s="171"/>
      <c r="L348" s="163">
        <v>2.25</v>
      </c>
      <c r="M348" s="15">
        <v>2.1880000000000002</v>
      </c>
      <c r="N348" s="15">
        <v>2E-3</v>
      </c>
      <c r="O348" s="15">
        <v>0.183</v>
      </c>
      <c r="P348" s="165">
        <f t="shared" si="123"/>
        <v>4.6230000000000002</v>
      </c>
      <c r="Q348" s="163">
        <v>0.24399999999999999</v>
      </c>
      <c r="R348" s="15">
        <v>5.0000000000000001E-3</v>
      </c>
      <c r="S348" s="165">
        <f t="shared" si="119"/>
        <v>0.249</v>
      </c>
      <c r="T348" s="188" t="s">
        <v>31</v>
      </c>
      <c r="U348" s="166" t="s">
        <v>535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67"/>
      <c r="AM348" s="127" t="s">
        <v>20</v>
      </c>
      <c r="AN348" s="121" t="str">
        <f>AO348</f>
        <v>D</v>
      </c>
      <c r="AO348" s="121" t="s">
        <v>21</v>
      </c>
      <c r="AP348" s="338">
        <f t="shared" ref="AP348" si="133">AQ348-2</f>
        <v>45711</v>
      </c>
      <c r="AQ348" s="338">
        <f t="shared" ref="AQ348" si="134">AR348-2</f>
        <v>45713</v>
      </c>
      <c r="AR348" s="338">
        <f>AS348-1</f>
        <v>45715</v>
      </c>
      <c r="AS348" s="507">
        <v>45716</v>
      </c>
      <c r="AT348" s="25" t="s">
        <v>588</v>
      </c>
      <c r="AU348" s="173"/>
      <c r="AV348" s="127" t="s">
        <v>20</v>
      </c>
      <c r="AW348" s="15" t="s">
        <v>6</v>
      </c>
      <c r="AX348" s="268">
        <f>AY348</f>
        <v>45718</v>
      </c>
      <c r="AY348" s="268">
        <v>45718</v>
      </c>
      <c r="AZ348" s="100" t="str">
        <f>AT348</f>
        <v xml:space="preserve">Shree Bayo </v>
      </c>
      <c r="BA348" s="191"/>
      <c r="BB348" s="127" t="s">
        <v>20</v>
      </c>
      <c r="BC348" s="121"/>
      <c r="BD348" s="121" t="s">
        <v>21</v>
      </c>
      <c r="BE348" s="269">
        <f>BF348-2</f>
        <v>45803</v>
      </c>
      <c r="BF348" s="269">
        <v>45805</v>
      </c>
      <c r="BG348" s="17" t="s">
        <v>505</v>
      </c>
      <c r="BH348" s="178"/>
      <c r="BI348" s="127" t="s">
        <v>20</v>
      </c>
      <c r="BJ348" s="121">
        <v>45809</v>
      </c>
      <c r="BK348" s="121">
        <v>45809</v>
      </c>
      <c r="BL348" s="25">
        <v>980</v>
      </c>
      <c r="BM348" s="24" t="s">
        <v>586</v>
      </c>
    </row>
    <row r="349" spans="1:65" ht="14.25" customHeight="1">
      <c r="A349" s="15" t="s">
        <v>0</v>
      </c>
      <c r="B349" s="19"/>
      <c r="C349" s="169"/>
      <c r="D349" s="120"/>
      <c r="E349" s="120"/>
      <c r="F349" s="120"/>
      <c r="G349" s="120"/>
      <c r="H349" s="170"/>
      <c r="I349" s="19"/>
      <c r="J349" s="19"/>
      <c r="K349" s="171"/>
      <c r="L349" s="163"/>
      <c r="M349" s="15"/>
      <c r="N349" s="15"/>
      <c r="O349" s="15"/>
      <c r="P349" s="165"/>
      <c r="Q349" s="163"/>
      <c r="R349" s="15"/>
      <c r="S349" s="165"/>
      <c r="T349" s="188"/>
      <c r="U349" s="188"/>
      <c r="V349" s="15">
        <v>369.86</v>
      </c>
      <c r="W349" s="15" t="s">
        <v>499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67"/>
      <c r="AM349" s="15"/>
      <c r="AN349" s="24"/>
      <c r="AO349" s="24"/>
      <c r="AP349" s="24"/>
      <c r="AQ349" s="24"/>
      <c r="AR349" s="24"/>
      <c r="AS349" s="25"/>
      <c r="AT349" s="25"/>
      <c r="AU349" s="168"/>
      <c r="AV349" s="15"/>
      <c r="AW349" s="24"/>
      <c r="AX349" s="268"/>
      <c r="AY349" s="268"/>
      <c r="AZ349" s="24"/>
      <c r="BA349" s="168"/>
      <c r="BB349" s="15"/>
      <c r="BC349" s="24"/>
      <c r="BD349" s="24"/>
      <c r="BE349" s="24"/>
      <c r="BF349" s="24"/>
      <c r="BG349" s="24"/>
      <c r="BH349" s="16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69" t="s">
        <v>37</v>
      </c>
      <c r="D350" s="120">
        <v>6.992</v>
      </c>
      <c r="E350" s="120">
        <f>D350*4</f>
        <v>27.968</v>
      </c>
      <c r="F350" s="120">
        <f>E350*8</f>
        <v>223.744</v>
      </c>
      <c r="G350" s="120"/>
      <c r="H350" s="170"/>
      <c r="I350" s="19"/>
      <c r="J350" s="19"/>
      <c r="K350" s="171"/>
      <c r="L350" s="163">
        <v>2.6070000000000002</v>
      </c>
      <c r="M350" s="15">
        <v>2.657</v>
      </c>
      <c r="N350" s="15">
        <v>2E-3</v>
      </c>
      <c r="O350" s="15">
        <v>0.21299999999999999</v>
      </c>
      <c r="P350" s="165">
        <f t="shared" si="123"/>
        <v>5.4790000000000001</v>
      </c>
      <c r="Q350" s="163">
        <v>0.24399999999999999</v>
      </c>
      <c r="R350" s="15">
        <v>5.0000000000000001E-3</v>
      </c>
      <c r="S350" s="165">
        <f t="shared" si="119"/>
        <v>0.249</v>
      </c>
      <c r="T350" s="188" t="s">
        <v>31</v>
      </c>
      <c r="U350" s="166" t="s">
        <v>568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76"/>
      <c r="AG350" s="176">
        <v>206.46</v>
      </c>
      <c r="AH350" s="176"/>
      <c r="AI350" s="176"/>
      <c r="AJ350" s="176">
        <v>581.69000000000005</v>
      </c>
      <c r="AK350" s="15">
        <v>0.58169000000000004</v>
      </c>
      <c r="AL350" s="167"/>
      <c r="AM350" s="127" t="s">
        <v>20</v>
      </c>
      <c r="AN350" s="121" t="str">
        <f>AO350</f>
        <v>D</v>
      </c>
      <c r="AO350" s="121" t="s">
        <v>21</v>
      </c>
      <c r="AP350" s="338">
        <v>45637</v>
      </c>
      <c r="AQ350" s="338">
        <v>45638</v>
      </c>
      <c r="AR350" s="338">
        <f>AS350-2</f>
        <v>45639</v>
      </c>
      <c r="AS350" s="507">
        <v>45641</v>
      </c>
      <c r="AT350" s="25" t="s">
        <v>588</v>
      </c>
      <c r="AU350" s="173"/>
      <c r="AV350" s="127" t="s">
        <v>20</v>
      </c>
      <c r="AW350" s="15" t="s">
        <v>6</v>
      </c>
      <c r="AX350" s="268">
        <v>45646</v>
      </c>
      <c r="AY350" s="268">
        <v>45646</v>
      </c>
      <c r="AZ350" s="19" t="s">
        <v>589</v>
      </c>
      <c r="BA350" s="184"/>
      <c r="BB350" s="127" t="s">
        <v>20</v>
      </c>
      <c r="BC350" s="121"/>
      <c r="BD350" s="121" t="s">
        <v>21</v>
      </c>
      <c r="BE350" s="269">
        <f>BF350-1</f>
        <v>45718</v>
      </c>
      <c r="BF350" s="269">
        <v>45719</v>
      </c>
      <c r="BG350" s="17" t="s">
        <v>505</v>
      </c>
      <c r="BH350" s="167"/>
      <c r="BI350" s="127" t="s">
        <v>20</v>
      </c>
      <c r="BJ350" s="121">
        <v>45810</v>
      </c>
      <c r="BK350" s="121">
        <v>45810</v>
      </c>
      <c r="BL350" s="25">
        <v>1330</v>
      </c>
      <c r="BM350" s="24" t="s">
        <v>586</v>
      </c>
    </row>
    <row r="351" spans="1:65" ht="14.25" customHeight="1">
      <c r="A351" s="15" t="s">
        <v>0</v>
      </c>
      <c r="B351" s="19"/>
      <c r="C351" s="169"/>
      <c r="D351" s="120"/>
      <c r="E351" s="120"/>
      <c r="F351" s="120"/>
      <c r="G351" s="120"/>
      <c r="H351" s="170"/>
      <c r="I351" s="19"/>
      <c r="J351" s="19"/>
      <c r="K351" s="171"/>
      <c r="L351" s="163"/>
      <c r="M351" s="15"/>
      <c r="N351" s="15"/>
      <c r="O351" s="15"/>
      <c r="P351" s="165"/>
      <c r="Q351" s="163"/>
      <c r="R351" s="15"/>
      <c r="S351" s="165"/>
      <c r="T351" s="188"/>
      <c r="U351" s="188"/>
      <c r="V351" s="15">
        <v>320.20999999999998</v>
      </c>
      <c r="W351" s="15" t="s">
        <v>536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67"/>
      <c r="AM351" s="15"/>
      <c r="AN351" s="24"/>
      <c r="AO351" s="24"/>
      <c r="AP351" s="24"/>
      <c r="AQ351" s="24"/>
      <c r="AR351" s="24"/>
      <c r="AS351" s="25"/>
      <c r="AT351" s="25"/>
      <c r="AU351" s="168"/>
      <c r="AV351" s="15"/>
      <c r="AW351" s="24"/>
      <c r="AX351" s="268"/>
      <c r="AY351" s="268"/>
      <c r="AZ351" s="24"/>
      <c r="BA351" s="168"/>
      <c r="BB351" s="15"/>
      <c r="BC351" s="24"/>
      <c r="BD351" s="24"/>
      <c r="BE351" s="24"/>
      <c r="BF351" s="24"/>
      <c r="BG351" s="24"/>
      <c r="BH351" s="16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69" t="s">
        <v>42</v>
      </c>
      <c r="D352" s="120">
        <v>6.3620000000000001</v>
      </c>
      <c r="E352" s="120">
        <f>D352*4</f>
        <v>25.448</v>
      </c>
      <c r="F352" s="120">
        <f>E352*8</f>
        <v>203.584</v>
      </c>
      <c r="G352" s="120"/>
      <c r="H352" s="170"/>
      <c r="I352" s="19"/>
      <c r="J352" s="19"/>
      <c r="K352" s="171"/>
      <c r="L352" s="163">
        <v>2.25</v>
      </c>
      <c r="M352" s="15">
        <v>2.1880000000000002</v>
      </c>
      <c r="N352" s="15">
        <v>2E-3</v>
      </c>
      <c r="O352" s="15">
        <v>0.183</v>
      </c>
      <c r="P352" s="165">
        <f t="shared" si="123"/>
        <v>4.6230000000000002</v>
      </c>
      <c r="Q352" s="163">
        <v>0.24399999999999999</v>
      </c>
      <c r="R352" s="15">
        <v>5.0000000000000001E-3</v>
      </c>
      <c r="S352" s="165">
        <f t="shared" si="119"/>
        <v>0.249</v>
      </c>
      <c r="T352" s="188" t="s">
        <v>31</v>
      </c>
      <c r="U352" s="188" t="s">
        <v>568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67"/>
      <c r="AM352" s="127" t="s">
        <v>20</v>
      </c>
      <c r="AN352" s="121" t="s">
        <v>21</v>
      </c>
      <c r="AO352" s="121" t="s">
        <v>21</v>
      </c>
      <c r="AP352" s="338">
        <f t="shared" ref="AP352" si="135">AQ352-2</f>
        <v>45771</v>
      </c>
      <c r="AQ352" s="338">
        <f t="shared" ref="AQ352" si="136">AR352-2</f>
        <v>45773</v>
      </c>
      <c r="AR352" s="338">
        <f t="shared" ref="AR352" si="137">AS352-2</f>
        <v>45775</v>
      </c>
      <c r="AS352" s="507">
        <v>45777</v>
      </c>
      <c r="AT352" s="25" t="s">
        <v>537</v>
      </c>
      <c r="AU352" s="173"/>
      <c r="AV352" s="127" t="s">
        <v>20</v>
      </c>
      <c r="AW352" s="15" t="s">
        <v>6</v>
      </c>
      <c r="AX352" s="268">
        <f>AY352</f>
        <v>45783</v>
      </c>
      <c r="AY352" s="268">
        <f>AS352+6</f>
        <v>45783</v>
      </c>
      <c r="AZ352" s="172" t="str">
        <f>AT352</f>
        <v>Ram Singh</v>
      </c>
      <c r="BA352" s="173"/>
      <c r="BB352" s="127" t="s">
        <v>20</v>
      </c>
      <c r="BC352" s="121" t="s">
        <v>539</v>
      </c>
      <c r="BD352" s="121" t="s">
        <v>21</v>
      </c>
      <c r="BE352" s="269">
        <f>BF352-2</f>
        <v>45806</v>
      </c>
      <c r="BF352" s="269">
        <v>45808</v>
      </c>
      <c r="BG352" s="17" t="s">
        <v>505</v>
      </c>
      <c r="BH352" s="177"/>
      <c r="BI352" s="127" t="s">
        <v>20</v>
      </c>
      <c r="BJ352" s="121">
        <v>45885</v>
      </c>
      <c r="BK352" s="121">
        <f>BJ352</f>
        <v>45885</v>
      </c>
      <c r="BL352" s="25">
        <v>980</v>
      </c>
      <c r="BM352" s="175" t="s">
        <v>586</v>
      </c>
    </row>
    <row r="353" spans="1:66" ht="14.25" customHeight="1">
      <c r="A353" s="15" t="s">
        <v>0</v>
      </c>
      <c r="B353" s="19"/>
      <c r="C353" s="169"/>
      <c r="D353" s="120"/>
      <c r="E353" s="120"/>
      <c r="F353" s="120"/>
      <c r="G353" s="120"/>
      <c r="H353" s="170"/>
      <c r="I353" s="19"/>
      <c r="J353" s="19"/>
      <c r="K353" s="171"/>
      <c r="L353" s="163"/>
      <c r="M353" s="15"/>
      <c r="N353" s="15"/>
      <c r="O353" s="15"/>
      <c r="P353" s="165"/>
      <c r="Q353" s="163"/>
      <c r="R353" s="15"/>
      <c r="S353" s="165"/>
      <c r="T353" s="188"/>
      <c r="U353" s="188"/>
      <c r="V353" s="15">
        <v>383.86</v>
      </c>
      <c r="W353" s="15" t="s">
        <v>499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67"/>
      <c r="AM353" s="15"/>
      <c r="AN353" s="24"/>
      <c r="AO353" s="24"/>
      <c r="AP353" s="24"/>
      <c r="AQ353" s="24"/>
      <c r="AR353" s="24"/>
      <c r="AS353" s="25"/>
      <c r="AT353" s="25"/>
      <c r="AU353" s="168"/>
      <c r="AV353" s="15"/>
      <c r="AW353" s="24"/>
      <c r="AX353" s="268"/>
      <c r="AY353" s="268"/>
      <c r="AZ353" s="24"/>
      <c r="BA353" s="168"/>
      <c r="BB353" s="15"/>
      <c r="BC353" s="24"/>
      <c r="BD353" s="24"/>
      <c r="BE353" s="24"/>
      <c r="BF353" s="24"/>
      <c r="BG353" s="24"/>
      <c r="BH353" s="16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69" t="s">
        <v>54</v>
      </c>
      <c r="D354" s="120">
        <v>13.257999999999999</v>
      </c>
      <c r="E354" s="120">
        <f>D354*4</f>
        <v>53.031999999999996</v>
      </c>
      <c r="F354" s="120">
        <f>E354*8</f>
        <v>424.25599999999997</v>
      </c>
      <c r="G354" s="120"/>
      <c r="H354" s="170"/>
      <c r="I354" s="19"/>
      <c r="J354" s="19"/>
      <c r="K354" s="171"/>
      <c r="L354" s="16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65">
        <f t="shared" si="123"/>
        <v>12.5037</v>
      </c>
      <c r="Q354" s="163">
        <v>1.1160000000000001</v>
      </c>
      <c r="R354" s="15">
        <v>3.2000000000000001E-2</v>
      </c>
      <c r="S354" s="165">
        <f t="shared" si="119"/>
        <v>1.1480000000000001</v>
      </c>
      <c r="T354" s="188" t="s">
        <v>595</v>
      </c>
      <c r="U354" s="188" t="s">
        <v>568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67"/>
      <c r="AM354" s="127" t="s">
        <v>20</v>
      </c>
      <c r="AN354" s="121" t="s">
        <v>539</v>
      </c>
      <c r="AO354" s="121" t="s">
        <v>21</v>
      </c>
      <c r="AP354" s="338">
        <f t="shared" ref="AP354" si="138">AQ354-2</f>
        <v>45770</v>
      </c>
      <c r="AQ354" s="338">
        <f t="shared" ref="AQ354" si="139">AR354-2</f>
        <v>45772</v>
      </c>
      <c r="AR354" s="338">
        <f t="shared" ref="AR354" si="140">AS354-2</f>
        <v>45774</v>
      </c>
      <c r="AS354" s="507">
        <v>45776</v>
      </c>
      <c r="AT354" s="25" t="s">
        <v>537</v>
      </c>
      <c r="AU354" s="173"/>
      <c r="AV354" s="127" t="s">
        <v>20</v>
      </c>
      <c r="AW354" s="15" t="s">
        <v>6</v>
      </c>
      <c r="AX354" s="268">
        <v>45778</v>
      </c>
      <c r="AY354" s="268">
        <v>45778</v>
      </c>
      <c r="AZ354" s="172" t="s">
        <v>588</v>
      </c>
      <c r="BA354" s="173"/>
      <c r="BB354" s="127" t="s">
        <v>20</v>
      </c>
      <c r="BC354" s="121" t="s">
        <v>539</v>
      </c>
      <c r="BD354" s="121" t="s">
        <v>21</v>
      </c>
      <c r="BE354" s="269">
        <f>BF354-2</f>
        <v>45817</v>
      </c>
      <c r="BF354" s="269">
        <v>45819</v>
      </c>
      <c r="BG354" s="17" t="s">
        <v>505</v>
      </c>
      <c r="BH354" s="167"/>
      <c r="BI354" s="127" t="s">
        <v>20</v>
      </c>
      <c r="BJ354" s="121">
        <v>45885</v>
      </c>
      <c r="BK354" s="121">
        <f>BJ354</f>
        <v>45885</v>
      </c>
      <c r="BL354" s="25">
        <v>2008</v>
      </c>
      <c r="BM354" s="24" t="s">
        <v>586</v>
      </c>
    </row>
    <row r="355" spans="1:66" ht="14.25" customHeight="1">
      <c r="A355" s="15" t="s">
        <v>0</v>
      </c>
      <c r="B355" s="19"/>
      <c r="C355" s="169"/>
      <c r="D355" s="120"/>
      <c r="E355" s="120"/>
      <c r="F355" s="120"/>
      <c r="G355" s="120"/>
      <c r="H355" s="170"/>
      <c r="I355" s="19"/>
      <c r="J355" s="19"/>
      <c r="K355" s="171"/>
      <c r="L355" s="163"/>
      <c r="M355" s="15"/>
      <c r="N355" s="15"/>
      <c r="O355" s="15"/>
      <c r="P355" s="165"/>
      <c r="Q355" s="163"/>
      <c r="R355" s="15"/>
      <c r="S355" s="165"/>
      <c r="T355" s="188"/>
      <c r="U355" s="188"/>
      <c r="V355" s="15">
        <v>190.524</v>
      </c>
      <c r="W355" s="15" t="s">
        <v>536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67"/>
      <c r="AM355" s="15"/>
      <c r="AN355" s="24"/>
      <c r="AO355" s="24"/>
      <c r="AP355" s="24"/>
      <c r="AQ355" s="24"/>
      <c r="AR355" s="24"/>
      <c r="AS355" s="25"/>
      <c r="AT355" s="25"/>
      <c r="AU355" s="168"/>
      <c r="AV355" s="15"/>
      <c r="AW355" s="24"/>
      <c r="AX355" s="268"/>
      <c r="AY355" s="268"/>
      <c r="AZ355" s="24"/>
      <c r="BA355" s="168"/>
      <c r="BB355" s="15"/>
      <c r="BC355" s="24"/>
      <c r="BD355" s="24"/>
      <c r="BE355" s="24"/>
      <c r="BF355" s="24"/>
      <c r="BG355" s="24"/>
      <c r="BH355" s="16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69" t="s">
        <v>260</v>
      </c>
      <c r="D356" s="120">
        <v>16.654</v>
      </c>
      <c r="E356" s="120">
        <f>D356*4</f>
        <v>66.616</v>
      </c>
      <c r="F356" s="120">
        <f>E356*8</f>
        <v>532.928</v>
      </c>
      <c r="G356" s="120">
        <v>1</v>
      </c>
      <c r="H356" s="170">
        <v>3</v>
      </c>
      <c r="I356" s="19">
        <v>3</v>
      </c>
      <c r="J356" s="19">
        <v>3</v>
      </c>
      <c r="K356" s="171">
        <v>3</v>
      </c>
      <c r="L356" s="163">
        <v>8.8970000000000002</v>
      </c>
      <c r="M356" s="15">
        <v>8.8010000000000002</v>
      </c>
      <c r="N356" s="15">
        <v>9.2999999999999992E-3</v>
      </c>
      <c r="O356" s="15">
        <v>0.752</v>
      </c>
      <c r="P356" s="164">
        <f t="shared" si="123"/>
        <v>18.459299999999999</v>
      </c>
      <c r="Q356" s="163">
        <v>1.1160000000000001</v>
      </c>
      <c r="R356" s="15">
        <v>3.2000000000000001E-2</v>
      </c>
      <c r="S356" s="165">
        <f t="shared" si="119"/>
        <v>1.1480000000000001</v>
      </c>
      <c r="T356" s="192" t="s">
        <v>596</v>
      </c>
      <c r="U356" s="188" t="s">
        <v>568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67"/>
      <c r="AM356" s="127" t="s">
        <v>20</v>
      </c>
      <c r="AN356" s="121" t="s">
        <v>539</v>
      </c>
      <c r="AO356" s="121" t="s">
        <v>21</v>
      </c>
      <c r="AP356" s="338">
        <f t="shared" ref="AP356" si="142">AQ356-2</f>
        <v>45758</v>
      </c>
      <c r="AQ356" s="338">
        <f t="shared" ref="AQ356" si="143">AR356-2</f>
        <v>45760</v>
      </c>
      <c r="AR356" s="338">
        <f t="shared" ref="AR356" si="144">AS356-2</f>
        <v>45762</v>
      </c>
      <c r="AS356" s="507">
        <v>45764</v>
      </c>
      <c r="AT356" s="25" t="s">
        <v>588</v>
      </c>
      <c r="AU356" s="173"/>
      <c r="AV356" s="127" t="s">
        <v>20</v>
      </c>
      <c r="AW356" s="15" t="s">
        <v>6</v>
      </c>
      <c r="AX356" s="268">
        <f>AY356</f>
        <v>45767</v>
      </c>
      <c r="AY356" s="268">
        <v>45767</v>
      </c>
      <c r="AZ356" s="19" t="s">
        <v>538</v>
      </c>
      <c r="BA356" s="184"/>
      <c r="BB356" s="127" t="s">
        <v>20</v>
      </c>
      <c r="BC356" s="121"/>
      <c r="BD356" s="121" t="s">
        <v>570</v>
      </c>
      <c r="BE356" s="269">
        <f>BF356-2</f>
        <v>45862</v>
      </c>
      <c r="BF356" s="269">
        <v>45864</v>
      </c>
      <c r="BG356" s="17" t="s">
        <v>505</v>
      </c>
      <c r="BH356" s="167"/>
      <c r="BI356" s="127" t="s">
        <v>20</v>
      </c>
      <c r="BJ356" s="121"/>
      <c r="BK356" s="121"/>
      <c r="BL356" s="124"/>
      <c r="BM356" s="24"/>
      <c r="BN356" s="121"/>
    </row>
    <row r="357" spans="1:66" ht="14.25" customHeight="1">
      <c r="A357" s="15" t="s">
        <v>0</v>
      </c>
      <c r="B357" s="19"/>
      <c r="C357" s="169"/>
      <c r="D357" s="120"/>
      <c r="E357" s="120"/>
      <c r="F357" s="120"/>
      <c r="G357" s="120"/>
      <c r="H357" s="170"/>
      <c r="I357" s="19"/>
      <c r="J357" s="19"/>
      <c r="K357" s="171"/>
      <c r="L357" s="163"/>
      <c r="M357" s="15"/>
      <c r="N357" s="15"/>
      <c r="O357" s="15"/>
      <c r="P357" s="165"/>
      <c r="Q357" s="163"/>
      <c r="R357" s="15"/>
      <c r="S357" s="165"/>
      <c r="T357" s="193"/>
      <c r="U357" s="193"/>
      <c r="V357" s="24">
        <v>173.541</v>
      </c>
      <c r="W357" s="15" t="s">
        <v>499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67"/>
      <c r="AM357" s="15"/>
      <c r="AN357" s="24"/>
      <c r="AO357" s="24"/>
      <c r="AP357" s="24"/>
      <c r="AQ357" s="24"/>
      <c r="AR357" s="24"/>
      <c r="AS357" s="25"/>
      <c r="AT357" s="25"/>
      <c r="AU357" s="168"/>
      <c r="AV357" s="15"/>
      <c r="AW357" s="24"/>
      <c r="AX357" s="268"/>
      <c r="AY357" s="268"/>
      <c r="AZ357" s="24"/>
      <c r="BA357" s="168"/>
      <c r="BB357" s="15"/>
      <c r="BC357" s="24"/>
      <c r="BD357" s="24"/>
      <c r="BE357" s="24"/>
      <c r="BF357" s="24"/>
      <c r="BG357" s="24"/>
      <c r="BH357" s="16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69" t="s">
        <v>260</v>
      </c>
      <c r="D358" s="120">
        <v>16.654</v>
      </c>
      <c r="E358" s="120">
        <f>D358*4</f>
        <v>66.616</v>
      </c>
      <c r="F358" s="120">
        <f>E358*8</f>
        <v>532.928</v>
      </c>
      <c r="G358" s="120">
        <v>1</v>
      </c>
      <c r="H358" s="170">
        <v>3</v>
      </c>
      <c r="I358" s="19">
        <v>3</v>
      </c>
      <c r="J358" s="19">
        <v>3</v>
      </c>
      <c r="K358" s="171">
        <v>3</v>
      </c>
      <c r="L358" s="163">
        <v>8.8970000000000002</v>
      </c>
      <c r="M358" s="15">
        <v>8.8010000000000002</v>
      </c>
      <c r="N358" s="15">
        <v>9.2999999999999992E-3</v>
      </c>
      <c r="O358" s="15">
        <v>0.752</v>
      </c>
      <c r="P358" s="165">
        <f t="shared" si="123"/>
        <v>18.459299999999999</v>
      </c>
      <c r="Q358" s="163">
        <v>1.1160000000000001</v>
      </c>
      <c r="R358" s="15">
        <v>3.2000000000000001E-2</v>
      </c>
      <c r="S358" s="165">
        <f t="shared" si="119"/>
        <v>1.1480000000000001</v>
      </c>
      <c r="T358" s="166" t="s">
        <v>31</v>
      </c>
      <c r="U358" s="188" t="s">
        <v>568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67"/>
      <c r="AM358" s="127" t="s">
        <v>20</v>
      </c>
      <c r="AN358" s="121" t="s">
        <v>546</v>
      </c>
      <c r="AO358" s="121" t="s">
        <v>21</v>
      </c>
      <c r="AP358" s="338">
        <f>AQ358-2</f>
        <v>45725</v>
      </c>
      <c r="AQ358" s="338">
        <f>AR358-3</f>
        <v>45727</v>
      </c>
      <c r="AR358" s="338">
        <f>AS358-2</f>
        <v>45730</v>
      </c>
      <c r="AS358" s="507">
        <v>45732</v>
      </c>
      <c r="AT358" s="25" t="s">
        <v>588</v>
      </c>
      <c r="AU358" s="173"/>
      <c r="AV358" s="127" t="s">
        <v>20</v>
      </c>
      <c r="AW358" s="15" t="s">
        <v>6</v>
      </c>
      <c r="AX358" s="268">
        <f>AY358</f>
        <v>45754</v>
      </c>
      <c r="AY358" s="268">
        <v>45754</v>
      </c>
      <c r="AZ358" s="19" t="s">
        <v>538</v>
      </c>
      <c r="BA358" s="184"/>
      <c r="BB358" s="127" t="s">
        <v>20</v>
      </c>
      <c r="BC358" s="121" t="s">
        <v>539</v>
      </c>
      <c r="BD358" s="121" t="s">
        <v>597</v>
      </c>
      <c r="BE358" s="269">
        <f>BF358-2</f>
        <v>45812</v>
      </c>
      <c r="BF358" s="269">
        <v>45814</v>
      </c>
      <c r="BG358" s="17" t="s">
        <v>505</v>
      </c>
      <c r="BH358" s="167"/>
      <c r="BI358" s="127" t="s">
        <v>20</v>
      </c>
      <c r="BJ358" s="121"/>
      <c r="BK358" s="121"/>
      <c r="BL358" s="124"/>
      <c r="BM358" s="24"/>
      <c r="BN358" s="15"/>
    </row>
    <row r="359" spans="1:66" ht="14.25" customHeight="1">
      <c r="A359" s="15" t="s">
        <v>0</v>
      </c>
      <c r="B359" s="19"/>
      <c r="C359" s="169"/>
      <c r="D359" s="120"/>
      <c r="E359" s="120"/>
      <c r="F359" s="120"/>
      <c r="G359" s="120"/>
      <c r="H359" s="170"/>
      <c r="I359" s="19"/>
      <c r="J359" s="19"/>
      <c r="K359" s="171"/>
      <c r="L359" s="163"/>
      <c r="M359" s="15"/>
      <c r="N359" s="15"/>
      <c r="O359" s="15"/>
      <c r="P359" s="165"/>
      <c r="Q359" s="163"/>
      <c r="R359" s="15"/>
      <c r="S359" s="165"/>
      <c r="T359" s="166"/>
      <c r="U359" s="166"/>
      <c r="V359" s="16">
        <v>142.38399999999999</v>
      </c>
      <c r="W359" s="15" t="s">
        <v>536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67"/>
      <c r="AM359" s="15"/>
      <c r="AN359" s="24"/>
      <c r="AO359" s="24"/>
      <c r="AP359" s="24"/>
      <c r="AQ359" s="24"/>
      <c r="AR359" s="24"/>
      <c r="AS359" s="25"/>
      <c r="AT359" s="25"/>
      <c r="AU359" s="168"/>
      <c r="AV359" s="15"/>
      <c r="AW359" s="24"/>
      <c r="AX359" s="268"/>
      <c r="AY359" s="268"/>
      <c r="AZ359" s="24"/>
      <c r="BA359" s="168"/>
      <c r="BB359" s="15"/>
      <c r="BC359" s="24"/>
      <c r="BD359" s="24"/>
      <c r="BE359" s="24"/>
      <c r="BF359" s="24"/>
      <c r="BG359" s="24"/>
      <c r="BH359" s="16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69" t="s">
        <v>260</v>
      </c>
      <c r="D360" s="120">
        <v>16.654</v>
      </c>
      <c r="E360" s="120">
        <f>D360*4</f>
        <v>66.616</v>
      </c>
      <c r="F360" s="120">
        <f>E360*8</f>
        <v>532.928</v>
      </c>
      <c r="G360" s="120">
        <v>1</v>
      </c>
      <c r="H360" s="170">
        <v>3</v>
      </c>
      <c r="I360" s="19">
        <v>3</v>
      </c>
      <c r="J360" s="19">
        <v>3</v>
      </c>
      <c r="K360" s="171">
        <v>3</v>
      </c>
      <c r="L360" s="163">
        <v>8.8970000000000002</v>
      </c>
      <c r="M360" s="15">
        <v>8.8010000000000002</v>
      </c>
      <c r="N360" s="15">
        <v>9.2999999999999992E-3</v>
      </c>
      <c r="O360" s="15">
        <v>0.752</v>
      </c>
      <c r="P360" s="165">
        <f t="shared" si="123"/>
        <v>18.459299999999999</v>
      </c>
      <c r="Q360" s="163">
        <v>1.1160000000000001</v>
      </c>
      <c r="R360" s="15">
        <v>3.2000000000000001E-2</v>
      </c>
      <c r="S360" s="165">
        <f t="shared" si="119"/>
        <v>1.1480000000000001</v>
      </c>
      <c r="T360" s="166" t="s">
        <v>31</v>
      </c>
      <c r="U360" s="188" t="s">
        <v>568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67"/>
      <c r="AM360" s="127" t="s">
        <v>20</v>
      </c>
      <c r="AN360" s="121" t="s">
        <v>539</v>
      </c>
      <c r="AO360" s="121" t="s">
        <v>21</v>
      </c>
      <c r="AP360" s="338">
        <f>AQ360-2</f>
        <v>45743</v>
      </c>
      <c r="AQ360" s="338">
        <f>AR360-3</f>
        <v>45745</v>
      </c>
      <c r="AR360" s="338">
        <f>AS360-2</f>
        <v>45748</v>
      </c>
      <c r="AS360" s="507">
        <v>45750</v>
      </c>
      <c r="AT360" s="25" t="s">
        <v>588</v>
      </c>
      <c r="AU360" s="173"/>
      <c r="AV360" s="127" t="s">
        <v>20</v>
      </c>
      <c r="AW360" s="15" t="s">
        <v>6</v>
      </c>
      <c r="AX360" s="268">
        <f>AY360</f>
        <v>45754</v>
      </c>
      <c r="AY360" s="268">
        <v>45754</v>
      </c>
      <c r="AZ360" s="19" t="s">
        <v>538</v>
      </c>
      <c r="BA360" s="184"/>
      <c r="BB360" s="127" t="s">
        <v>20</v>
      </c>
      <c r="BC360" s="121"/>
      <c r="BD360" s="121" t="s">
        <v>570</v>
      </c>
      <c r="BE360" s="269">
        <f>BF360-2</f>
        <v>45862</v>
      </c>
      <c r="BF360" s="269">
        <v>45864</v>
      </c>
      <c r="BG360" s="17" t="s">
        <v>547</v>
      </c>
      <c r="BH360" s="167"/>
      <c r="BI360" s="127" t="s">
        <v>20</v>
      </c>
      <c r="BJ360" s="121"/>
      <c r="BK360" s="121"/>
      <c r="BL360" s="124"/>
      <c r="BM360" s="24"/>
      <c r="BN360" s="121"/>
    </row>
    <row r="361" spans="1:66" ht="14.25" customHeight="1">
      <c r="A361" s="15" t="s">
        <v>0</v>
      </c>
      <c r="B361" s="19"/>
      <c r="C361" s="169"/>
      <c r="D361" s="120"/>
      <c r="E361" s="120"/>
      <c r="F361" s="120"/>
      <c r="G361" s="120"/>
      <c r="H361" s="170"/>
      <c r="I361" s="19"/>
      <c r="J361" s="19"/>
      <c r="K361" s="171"/>
      <c r="L361" s="163"/>
      <c r="M361" s="15"/>
      <c r="N361" s="15"/>
      <c r="O361" s="15"/>
      <c r="P361" s="165"/>
      <c r="Q361" s="163"/>
      <c r="R361" s="15"/>
      <c r="S361" s="165"/>
      <c r="T361" s="166"/>
      <c r="U361" s="166"/>
      <c r="V361" s="16">
        <v>77.015000000000001</v>
      </c>
      <c r="W361" s="15" t="s">
        <v>499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67"/>
      <c r="AM361" s="15"/>
      <c r="AN361" s="24"/>
      <c r="AO361" s="24"/>
      <c r="AP361" s="24"/>
      <c r="AQ361" s="24"/>
      <c r="AR361" s="24"/>
      <c r="AS361" s="25"/>
      <c r="AT361" s="25"/>
      <c r="AU361" s="168"/>
      <c r="AV361" s="15"/>
      <c r="AW361" s="24"/>
      <c r="AX361" s="268"/>
      <c r="AY361" s="268"/>
      <c r="AZ361" s="24"/>
      <c r="BA361" s="168"/>
      <c r="BB361" s="15"/>
      <c r="BC361" s="24"/>
      <c r="BD361" s="24"/>
      <c r="BE361" s="24"/>
      <c r="BF361" s="24"/>
      <c r="BG361" s="24"/>
      <c r="BH361" s="16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69" t="s">
        <v>34</v>
      </c>
      <c r="D362" s="120">
        <v>9.6539999999999999</v>
      </c>
      <c r="E362" s="120">
        <f>D362*4</f>
        <v>38.616</v>
      </c>
      <c r="F362" s="120">
        <f>E362*8</f>
        <v>308.928</v>
      </c>
      <c r="G362" s="120">
        <v>1</v>
      </c>
      <c r="H362" s="170">
        <v>3</v>
      </c>
      <c r="I362" s="19">
        <v>3</v>
      </c>
      <c r="J362" s="19">
        <v>3</v>
      </c>
      <c r="K362" s="171">
        <v>3</v>
      </c>
      <c r="L362" s="163">
        <v>4.8070000000000004</v>
      </c>
      <c r="M362" s="15">
        <v>4.016</v>
      </c>
      <c r="N362" s="15">
        <v>7.0000000000000001E-3</v>
      </c>
      <c r="O362" s="15">
        <v>0.43099999999999999</v>
      </c>
      <c r="P362" s="165">
        <f t="shared" si="123"/>
        <v>9.2609999999999992</v>
      </c>
      <c r="Q362" s="163">
        <v>0.55700000000000005</v>
      </c>
      <c r="R362" s="15">
        <v>0.01</v>
      </c>
      <c r="S362" s="165">
        <f t="shared" si="119"/>
        <v>0.56700000000000006</v>
      </c>
      <c r="T362" s="166" t="s">
        <v>31</v>
      </c>
      <c r="U362" s="188" t="s">
        <v>568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67"/>
      <c r="AM362" s="127" t="s">
        <v>20</v>
      </c>
      <c r="AN362" s="121" t="s">
        <v>539</v>
      </c>
      <c r="AO362" s="121" t="s">
        <v>21</v>
      </c>
      <c r="AP362" s="338">
        <f>AQ362-1</f>
        <v>45797</v>
      </c>
      <c r="AQ362" s="338">
        <f t="shared" ref="AQ362" si="145">AR362-2</f>
        <v>45798</v>
      </c>
      <c r="AR362" s="338">
        <f t="shared" ref="AR362" si="146">AS362-2</f>
        <v>45800</v>
      </c>
      <c r="AS362" s="507">
        <v>45802</v>
      </c>
      <c r="AT362" s="25" t="s">
        <v>588</v>
      </c>
      <c r="AU362" s="173"/>
      <c r="AV362" s="127" t="s">
        <v>20</v>
      </c>
      <c r="AW362" s="15" t="s">
        <v>6</v>
      </c>
      <c r="AX362" s="268">
        <f>AY362</f>
        <v>45813</v>
      </c>
      <c r="AY362" s="268">
        <v>45813</v>
      </c>
      <c r="AZ362" s="24" t="str">
        <f>AT362</f>
        <v xml:space="preserve">Shree Bayo </v>
      </c>
      <c r="BA362" s="168"/>
      <c r="BB362" s="127" t="s">
        <v>20</v>
      </c>
      <c r="BC362" s="121" t="s">
        <v>539</v>
      </c>
      <c r="BD362" s="121" t="s">
        <v>21</v>
      </c>
      <c r="BE362" s="269">
        <f>BF362-2</f>
        <v>45823</v>
      </c>
      <c r="BF362" s="269">
        <v>45825</v>
      </c>
      <c r="BG362" s="17" t="s">
        <v>505</v>
      </c>
      <c r="BH362" s="167"/>
      <c r="BI362" s="127" t="s">
        <v>20</v>
      </c>
      <c r="BJ362" s="121"/>
      <c r="BK362" s="121"/>
      <c r="BL362" s="25">
        <v>1202</v>
      </c>
      <c r="BM362" s="24"/>
      <c r="BN362" s="182" t="s">
        <v>551</v>
      </c>
    </row>
    <row r="363" spans="1:66" ht="14.25" customHeight="1">
      <c r="A363" s="15" t="s">
        <v>0</v>
      </c>
      <c r="B363" s="19"/>
      <c r="C363" s="169"/>
      <c r="D363" s="120"/>
      <c r="E363" s="120"/>
      <c r="F363" s="120"/>
      <c r="G363" s="120"/>
      <c r="H363" s="170"/>
      <c r="I363" s="19"/>
      <c r="J363" s="19"/>
      <c r="K363" s="171"/>
      <c r="L363" s="163"/>
      <c r="M363" s="15"/>
      <c r="N363" s="15"/>
      <c r="O363" s="15"/>
      <c r="P363" s="165"/>
      <c r="Q363" s="163"/>
      <c r="R363" s="15"/>
      <c r="S363" s="165"/>
      <c r="T363" s="166"/>
      <c r="U363" s="166"/>
      <c r="V363" s="16">
        <v>42.265999999999998</v>
      </c>
      <c r="W363" s="15" t="s">
        <v>499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67"/>
      <c r="AM363" s="15"/>
      <c r="AN363" s="24"/>
      <c r="AO363" s="24"/>
      <c r="AP363" s="24"/>
      <c r="AQ363" s="24"/>
      <c r="AR363" s="24"/>
      <c r="AS363" s="25"/>
      <c r="AT363" s="25"/>
      <c r="AU363" s="168"/>
      <c r="AV363" s="15"/>
      <c r="AW363" s="24"/>
      <c r="AX363" s="268"/>
      <c r="AY363" s="268"/>
      <c r="AZ363" s="24"/>
      <c r="BA363" s="168"/>
      <c r="BB363" s="15"/>
      <c r="BC363" s="24"/>
      <c r="BD363" s="24"/>
      <c r="BE363" s="24"/>
      <c r="BF363" s="24"/>
      <c r="BG363" s="24"/>
      <c r="BH363" s="16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69" t="s">
        <v>268</v>
      </c>
      <c r="D364" s="120"/>
      <c r="E364" s="120">
        <f>D364*4</f>
        <v>0</v>
      </c>
      <c r="F364" s="120">
        <f>4.5*4*3</f>
        <v>54</v>
      </c>
      <c r="G364" s="120"/>
      <c r="H364" s="170"/>
      <c r="I364" s="19"/>
      <c r="J364" s="19"/>
      <c r="K364" s="171"/>
      <c r="L364" s="163">
        <v>3.738</v>
      </c>
      <c r="M364" s="15">
        <v>1.944</v>
      </c>
      <c r="N364" s="15">
        <v>1.4999999999999999E-2</v>
      </c>
      <c r="O364" s="15">
        <v>0.36699999999999999</v>
      </c>
      <c r="P364" s="165">
        <f t="shared" si="123"/>
        <v>6.0640000000000001</v>
      </c>
      <c r="Q364" s="163">
        <v>0.68300000000000005</v>
      </c>
      <c r="R364" s="15">
        <v>1.4999999999999999E-2</v>
      </c>
      <c r="S364" s="165">
        <f t="shared" si="119"/>
        <v>0.69800000000000006</v>
      </c>
      <c r="T364" s="166" t="s">
        <v>31</v>
      </c>
      <c r="U364" s="188" t="s">
        <v>568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67"/>
      <c r="AM364" s="127" t="s">
        <v>20</v>
      </c>
      <c r="AN364" s="121"/>
      <c r="AO364" s="121"/>
      <c r="AP364" s="338">
        <f>AR364-15</f>
        <v>45783</v>
      </c>
      <c r="AQ364" s="338">
        <f>AR364-9</f>
        <v>45789</v>
      </c>
      <c r="AR364" s="338">
        <f>AS364-3</f>
        <v>45798</v>
      </c>
      <c r="AS364" s="507">
        <v>45801</v>
      </c>
      <c r="AT364" s="15" t="s">
        <v>538</v>
      </c>
      <c r="AU364" s="184"/>
      <c r="AV364" s="127" t="s">
        <v>20</v>
      </c>
      <c r="AW364" s="15"/>
      <c r="AX364" s="268"/>
      <c r="AY364" s="268"/>
      <c r="AZ364" s="19"/>
      <c r="BA364" s="184"/>
      <c r="BB364" s="127" t="s">
        <v>20</v>
      </c>
      <c r="BC364" s="121"/>
      <c r="BD364" s="121"/>
      <c r="BE364" s="269">
        <v>45948</v>
      </c>
      <c r="BF364" s="269">
        <v>45952</v>
      </c>
      <c r="BG364" s="17" t="s">
        <v>505</v>
      </c>
      <c r="BH364" s="167"/>
      <c r="BI364" s="127" t="s">
        <v>20</v>
      </c>
      <c r="BJ364" s="121"/>
      <c r="BK364" s="121"/>
      <c r="BL364" s="124"/>
      <c r="BM364" s="24" t="s">
        <v>707</v>
      </c>
      <c r="BN364" s="182" t="s">
        <v>551</v>
      </c>
    </row>
    <row r="365" spans="1:66" ht="14.25" customHeight="1">
      <c r="A365" s="15" t="s">
        <v>0</v>
      </c>
      <c r="B365" s="19"/>
      <c r="C365" s="169"/>
      <c r="D365" s="120"/>
      <c r="E365" s="120"/>
      <c r="F365" s="120"/>
      <c r="G365" s="120"/>
      <c r="H365" s="170"/>
      <c r="I365" s="19"/>
      <c r="J365" s="19"/>
      <c r="K365" s="171"/>
      <c r="L365" s="163"/>
      <c r="M365" s="15"/>
      <c r="N365" s="15"/>
      <c r="O365" s="15"/>
      <c r="P365" s="165"/>
      <c r="Q365" s="163"/>
      <c r="R365" s="15"/>
      <c r="S365" s="165"/>
      <c r="T365" s="166"/>
      <c r="U365" s="166"/>
      <c r="V365" s="16">
        <v>54.573</v>
      </c>
      <c r="W365" s="15" t="s">
        <v>536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67"/>
      <c r="AM365" s="15"/>
      <c r="AN365" s="24"/>
      <c r="AO365" s="24"/>
      <c r="AP365" s="24"/>
      <c r="AQ365" s="24"/>
      <c r="AR365" s="24"/>
      <c r="AS365" s="25"/>
      <c r="AT365" s="25"/>
      <c r="AU365" s="168"/>
      <c r="AV365" s="15"/>
      <c r="AW365" s="24"/>
      <c r="AX365" s="268"/>
      <c r="AY365" s="268"/>
      <c r="AZ365" s="24"/>
      <c r="BA365" s="168"/>
      <c r="BB365" s="15"/>
      <c r="BC365" s="24"/>
      <c r="BD365" s="24"/>
      <c r="BE365" s="24"/>
      <c r="BF365" s="24"/>
      <c r="BG365" s="24"/>
      <c r="BH365" s="16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31" t="s">
        <v>269</v>
      </c>
      <c r="C366" s="169" t="s">
        <v>268</v>
      </c>
      <c r="D366" s="120"/>
      <c r="E366" s="120">
        <f>D366*4</f>
        <v>0</v>
      </c>
      <c r="F366" s="120">
        <f>4.5*4*3</f>
        <v>54</v>
      </c>
      <c r="G366" s="120"/>
      <c r="H366" s="170"/>
      <c r="I366" s="19"/>
      <c r="J366" s="19"/>
      <c r="K366" s="171"/>
      <c r="L366" s="163">
        <v>3.738</v>
      </c>
      <c r="M366" s="15">
        <v>1.944</v>
      </c>
      <c r="N366" s="15">
        <v>1.4999999999999999E-2</v>
      </c>
      <c r="O366" s="15">
        <v>0.36699999999999999</v>
      </c>
      <c r="P366" s="165">
        <f t="shared" si="123"/>
        <v>6.0640000000000001</v>
      </c>
      <c r="Q366" s="163">
        <v>0.68300000000000005</v>
      </c>
      <c r="R366" s="15">
        <v>1.4999999999999999E-2</v>
      </c>
      <c r="S366" s="165">
        <f t="shared" si="119"/>
        <v>0.69800000000000006</v>
      </c>
      <c r="T366" s="166" t="s">
        <v>31</v>
      </c>
      <c r="U366" s="188" t="s">
        <v>568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67"/>
      <c r="AM366" s="127" t="s">
        <v>20</v>
      </c>
      <c r="AN366" s="121"/>
      <c r="AO366" s="121"/>
      <c r="AP366" s="338">
        <f t="shared" ref="AP366" si="147">AQ366-5</f>
        <v>45824</v>
      </c>
      <c r="AQ366" s="338">
        <f t="shared" ref="AQ366" si="148">AR366-5</f>
        <v>45829</v>
      </c>
      <c r="AR366" s="338">
        <f>AS366-3</f>
        <v>45834</v>
      </c>
      <c r="AS366" s="507">
        <v>45837</v>
      </c>
      <c r="AT366" s="15" t="s">
        <v>538</v>
      </c>
      <c r="AU366" s="184"/>
      <c r="AV366" s="127" t="s">
        <v>20</v>
      </c>
      <c r="AW366" s="15"/>
      <c r="AX366" s="268">
        <f>AS366+10</f>
        <v>45847</v>
      </c>
      <c r="AY366" s="268">
        <f>AX366</f>
        <v>45847</v>
      </c>
      <c r="AZ366" s="19" t="s">
        <v>538</v>
      </c>
      <c r="BA366" s="184"/>
      <c r="BB366" s="127" t="s">
        <v>20</v>
      </c>
      <c r="BC366" s="121"/>
      <c r="BD366" s="121"/>
      <c r="BE366" s="269">
        <f>BF366-3</f>
        <v>45883</v>
      </c>
      <c r="BF366" s="269">
        <v>45886</v>
      </c>
      <c r="BG366" s="15" t="s">
        <v>547</v>
      </c>
      <c r="BH366" s="167"/>
      <c r="BI366" s="127" t="s">
        <v>20</v>
      </c>
      <c r="BJ366" s="121"/>
      <c r="BK366" s="121"/>
      <c r="BL366" s="124"/>
      <c r="BM366" s="24"/>
      <c r="BN366" s="121"/>
    </row>
    <row r="367" spans="1:66" ht="14.25" customHeight="1">
      <c r="A367" s="15" t="s">
        <v>0</v>
      </c>
      <c r="B367" s="19"/>
      <c r="C367" s="169"/>
      <c r="D367" s="120"/>
      <c r="E367" s="120"/>
      <c r="F367" s="120"/>
      <c r="G367" s="120"/>
      <c r="H367" s="170"/>
      <c r="I367" s="19"/>
      <c r="J367" s="19"/>
      <c r="K367" s="171"/>
      <c r="L367" s="163"/>
      <c r="M367" s="15"/>
      <c r="N367" s="15"/>
      <c r="O367" s="15"/>
      <c r="P367" s="165"/>
      <c r="Q367" s="163"/>
      <c r="R367" s="15"/>
      <c r="S367" s="165"/>
      <c r="T367" s="166"/>
      <c r="U367" s="166"/>
      <c r="V367" s="16">
        <v>41.886000000000003</v>
      </c>
      <c r="W367" s="15" t="s">
        <v>536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67"/>
      <c r="AM367" s="15"/>
      <c r="AN367" s="24"/>
      <c r="AO367" s="24"/>
      <c r="AP367" s="24"/>
      <c r="AQ367" s="24"/>
      <c r="AR367" s="24"/>
      <c r="AS367" s="25"/>
      <c r="AT367" s="25"/>
      <c r="AU367" s="168"/>
      <c r="AV367" s="15"/>
      <c r="AW367" s="24"/>
      <c r="AX367" s="268"/>
      <c r="AY367" s="268"/>
      <c r="AZ367" s="24"/>
      <c r="BA367" s="168"/>
      <c r="BB367" s="15"/>
      <c r="BC367" s="24"/>
      <c r="BD367" s="24"/>
      <c r="BE367" s="24"/>
      <c r="BF367" s="24"/>
      <c r="BG367" s="24"/>
      <c r="BH367" s="16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69" t="s">
        <v>51</v>
      </c>
      <c r="D368" s="120">
        <v>10.82</v>
      </c>
      <c r="E368" s="120">
        <f>D368*4</f>
        <v>43.28</v>
      </c>
      <c r="F368" s="120">
        <f>E368*8</f>
        <v>346.24</v>
      </c>
      <c r="G368" s="120"/>
      <c r="H368" s="170"/>
      <c r="I368" s="19"/>
      <c r="J368" s="19"/>
      <c r="K368" s="171"/>
      <c r="L368" s="163">
        <v>5.4920000000000009</v>
      </c>
      <c r="M368" s="15">
        <v>5.0969999999999995</v>
      </c>
      <c r="N368" s="15">
        <v>7.7999999999999996E-3</v>
      </c>
      <c r="O368" s="15">
        <v>0.502</v>
      </c>
      <c r="P368" s="165">
        <f t="shared" si="123"/>
        <v>11.098800000000001</v>
      </c>
      <c r="Q368" s="163">
        <v>0.55700000000000005</v>
      </c>
      <c r="R368" s="15">
        <v>0.01</v>
      </c>
      <c r="S368" s="165">
        <f t="shared" si="119"/>
        <v>0.56700000000000006</v>
      </c>
      <c r="T368" s="166" t="s">
        <v>31</v>
      </c>
      <c r="U368" s="188" t="s">
        <v>568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67"/>
      <c r="AM368" s="127" t="s">
        <v>20</v>
      </c>
      <c r="AN368" s="121" t="s">
        <v>21</v>
      </c>
      <c r="AO368" s="121" t="s">
        <v>21</v>
      </c>
      <c r="AP368" s="338">
        <f>AQ368-3</f>
        <v>45784</v>
      </c>
      <c r="AQ368" s="338">
        <f t="shared" ref="AQ368" si="149">AR368-2</f>
        <v>45787</v>
      </c>
      <c r="AR368" s="338">
        <f t="shared" ref="AR368" si="150">AS368-2</f>
        <v>45789</v>
      </c>
      <c r="AS368" s="507">
        <v>45791</v>
      </c>
      <c r="AT368" s="15" t="s">
        <v>538</v>
      </c>
      <c r="AU368" s="184"/>
      <c r="AV368" s="127" t="s">
        <v>20</v>
      </c>
      <c r="AW368" s="15" t="s">
        <v>6</v>
      </c>
      <c r="AX368" s="268">
        <f>AY368</f>
        <v>45798</v>
      </c>
      <c r="AY368" s="268">
        <f>AS368+7</f>
        <v>45798</v>
      </c>
      <c r="AZ368" s="24" t="str">
        <f>AT368</f>
        <v>Ram Singh-1</v>
      </c>
      <c r="BA368" s="168"/>
      <c r="BB368" s="127" t="s">
        <v>20</v>
      </c>
      <c r="BC368" s="121" t="s">
        <v>539</v>
      </c>
      <c r="BD368" s="121" t="s">
        <v>559</v>
      </c>
      <c r="BE368" s="269">
        <f>BF368-2</f>
        <v>45821</v>
      </c>
      <c r="BF368" s="269">
        <v>45823</v>
      </c>
      <c r="BG368" s="17" t="s">
        <v>505</v>
      </c>
      <c r="BH368" s="167"/>
      <c r="BI368" s="127" t="s">
        <v>20</v>
      </c>
      <c r="BJ368" s="121"/>
      <c r="BK368" s="12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69"/>
      <c r="D369" s="120"/>
      <c r="E369" s="120"/>
      <c r="F369" s="120"/>
      <c r="G369" s="120"/>
      <c r="H369" s="170"/>
      <c r="I369" s="19"/>
      <c r="J369" s="19"/>
      <c r="K369" s="171"/>
      <c r="L369" s="163"/>
      <c r="M369" s="15"/>
      <c r="N369" s="15"/>
      <c r="O369" s="15"/>
      <c r="P369" s="165"/>
      <c r="Q369" s="163"/>
      <c r="R369" s="15"/>
      <c r="S369" s="165"/>
      <c r="T369" s="166"/>
      <c r="U369" s="166"/>
      <c r="V369" s="16">
        <v>353.28399999999999</v>
      </c>
      <c r="W369" s="15" t="s">
        <v>499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67"/>
      <c r="AM369" s="15"/>
      <c r="AN369" s="24"/>
      <c r="AO369" s="24"/>
      <c r="AP369" s="24"/>
      <c r="AQ369" s="24"/>
      <c r="AR369" s="24"/>
      <c r="AS369" s="25"/>
      <c r="AT369" s="25"/>
      <c r="AU369" s="168"/>
      <c r="AV369" s="15"/>
      <c r="AW369" s="24"/>
      <c r="AX369" s="268"/>
      <c r="AY369" s="268"/>
      <c r="AZ369" s="24"/>
      <c r="BA369" s="168"/>
      <c r="BB369" s="15"/>
      <c r="BC369" s="24"/>
      <c r="BD369" s="24"/>
      <c r="BE369" s="24"/>
      <c r="BF369" s="24"/>
      <c r="BG369" s="24"/>
      <c r="BH369" s="16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69" t="s">
        <v>116</v>
      </c>
      <c r="D370" s="120">
        <v>10.462</v>
      </c>
      <c r="E370" s="120">
        <f>D370*4</f>
        <v>41.847999999999999</v>
      </c>
      <c r="F370" s="120">
        <f>E370*8</f>
        <v>334.78399999999999</v>
      </c>
      <c r="G370" s="120"/>
      <c r="H370" s="170"/>
      <c r="I370" s="19"/>
      <c r="J370" s="19"/>
      <c r="K370" s="171"/>
      <c r="L370" s="163">
        <v>5.2010000000000005</v>
      </c>
      <c r="M370" s="15">
        <v>4.1459999999999999</v>
      </c>
      <c r="N370" s="15">
        <v>6.7000000000000002E-3</v>
      </c>
      <c r="O370" s="15">
        <v>0.503</v>
      </c>
      <c r="P370" s="165">
        <f t="shared" si="123"/>
        <v>9.8567000000000018</v>
      </c>
      <c r="Q370" s="163">
        <v>0.436</v>
      </c>
      <c r="R370" s="15">
        <v>0.01</v>
      </c>
      <c r="S370" s="165">
        <f t="shared" si="119"/>
        <v>0.44600000000000001</v>
      </c>
      <c r="T370" s="166" t="s">
        <v>31</v>
      </c>
      <c r="U370" s="188" t="s">
        <v>568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67"/>
      <c r="AM370" s="127" t="s">
        <v>20</v>
      </c>
      <c r="AN370" s="121" t="s">
        <v>539</v>
      </c>
      <c r="AO370" s="121" t="s">
        <v>21</v>
      </c>
      <c r="AP370" s="338">
        <f>AQ370-3</f>
        <v>45780</v>
      </c>
      <c r="AQ370" s="338">
        <f t="shared" ref="AQ370" si="151">AR370-2</f>
        <v>45783</v>
      </c>
      <c r="AR370" s="338">
        <f t="shared" ref="AR370" si="152">AS370-2</f>
        <v>45785</v>
      </c>
      <c r="AS370" s="507">
        <v>45787</v>
      </c>
      <c r="AT370" s="15" t="s">
        <v>538</v>
      </c>
      <c r="AU370" s="184"/>
      <c r="AV370" s="127" t="s">
        <v>20</v>
      </c>
      <c r="AW370" s="15"/>
      <c r="AX370" s="268">
        <f>AS370+10</f>
        <v>45797</v>
      </c>
      <c r="AY370" s="268">
        <f>AX370</f>
        <v>45797</v>
      </c>
      <c r="AZ370" s="19" t="s">
        <v>538</v>
      </c>
      <c r="BA370" s="184"/>
      <c r="BB370" s="127" t="s">
        <v>20</v>
      </c>
      <c r="BC370" s="121"/>
      <c r="BD370" s="121" t="s">
        <v>559</v>
      </c>
      <c r="BE370" s="269">
        <f>BF370-3</f>
        <v>45880</v>
      </c>
      <c r="BF370" s="269">
        <v>45883</v>
      </c>
      <c r="BG370" s="15" t="s">
        <v>547</v>
      </c>
      <c r="BH370" s="167"/>
      <c r="BI370" s="127" t="s">
        <v>20</v>
      </c>
      <c r="BJ370" s="121"/>
      <c r="BK370" s="121"/>
      <c r="BL370" s="25">
        <v>1657</v>
      </c>
      <c r="BM370" s="24" t="s">
        <v>586</v>
      </c>
      <c r="BN370" s="181" t="s">
        <v>551</v>
      </c>
    </row>
    <row r="371" spans="1:66" ht="14.25" customHeight="1">
      <c r="A371" s="15" t="s">
        <v>0</v>
      </c>
      <c r="B371" s="19"/>
      <c r="C371" s="169"/>
      <c r="D371" s="120"/>
      <c r="E371" s="120"/>
      <c r="F371" s="120"/>
      <c r="G371" s="120"/>
      <c r="H371" s="170"/>
      <c r="I371" s="19"/>
      <c r="J371" s="19"/>
      <c r="K371" s="171"/>
      <c r="L371" s="163"/>
      <c r="M371" s="15"/>
      <c r="N371" s="15"/>
      <c r="O371" s="15"/>
      <c r="P371" s="165"/>
      <c r="Q371" s="163"/>
      <c r="R371" s="15"/>
      <c r="S371" s="165"/>
      <c r="T371" s="166"/>
      <c r="U371" s="166"/>
      <c r="V371" s="16">
        <v>393</v>
      </c>
      <c r="W371" s="15" t="s">
        <v>499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67"/>
      <c r="AM371" s="15"/>
      <c r="AN371" s="24"/>
      <c r="AO371" s="24"/>
      <c r="AP371" s="24"/>
      <c r="AQ371" s="24"/>
      <c r="AR371" s="24"/>
      <c r="AS371" s="25"/>
      <c r="AT371" s="25"/>
      <c r="AU371" s="168"/>
      <c r="AV371" s="15"/>
      <c r="AW371" s="24"/>
      <c r="AX371" s="268"/>
      <c r="AY371" s="268"/>
      <c r="AZ371" s="24"/>
      <c r="BA371" s="168"/>
      <c r="BB371" s="15"/>
      <c r="BC371" s="24"/>
      <c r="BD371" s="24"/>
      <c r="BE371" s="24"/>
      <c r="BF371" s="24"/>
      <c r="BG371" s="24"/>
      <c r="BH371" s="16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69" t="s">
        <v>42</v>
      </c>
      <c r="D372" s="120">
        <v>6.3620000000000001</v>
      </c>
      <c r="E372" s="120">
        <f>D372*4</f>
        <v>25.448</v>
      </c>
      <c r="F372" s="120">
        <f>E372*8</f>
        <v>203.584</v>
      </c>
      <c r="G372" s="120"/>
      <c r="H372" s="170"/>
      <c r="I372" s="19"/>
      <c r="J372" s="19"/>
      <c r="K372" s="171"/>
      <c r="L372" s="163">
        <v>2.25</v>
      </c>
      <c r="M372" s="15">
        <v>2.1880000000000002</v>
      </c>
      <c r="N372" s="15">
        <v>2E-3</v>
      </c>
      <c r="O372" s="15">
        <v>0.183</v>
      </c>
      <c r="P372" s="165">
        <f t="shared" si="123"/>
        <v>4.6230000000000002</v>
      </c>
      <c r="Q372" s="163">
        <v>0.24399999999999999</v>
      </c>
      <c r="R372" s="15">
        <v>5.0000000000000001E-3</v>
      </c>
      <c r="S372" s="165">
        <f t="shared" si="119"/>
        <v>0.249</v>
      </c>
      <c r="T372" s="166" t="s">
        <v>31</v>
      </c>
      <c r="U372" s="188" t="s">
        <v>568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67"/>
      <c r="AM372" s="127" t="s">
        <v>20</v>
      </c>
      <c r="AN372" s="121" t="s">
        <v>546</v>
      </c>
      <c r="AO372" s="121" t="s">
        <v>21</v>
      </c>
      <c r="AP372" s="338">
        <f t="shared" ref="AP372" si="153">AQ372-2</f>
        <v>45646</v>
      </c>
      <c r="AQ372" s="338">
        <f t="shared" ref="AQ372" si="154">AR372-2</f>
        <v>45648</v>
      </c>
      <c r="AR372" s="338">
        <f t="shared" ref="AR372" si="155">AS372-2</f>
        <v>45650</v>
      </c>
      <c r="AS372" s="507">
        <v>45652</v>
      </c>
      <c r="AT372" s="15" t="s">
        <v>538</v>
      </c>
      <c r="AU372" s="184"/>
      <c r="AV372" s="127" t="s">
        <v>20</v>
      </c>
      <c r="AW372" s="15" t="s">
        <v>6</v>
      </c>
      <c r="AX372" s="268">
        <v>45677</v>
      </c>
      <c r="AY372" s="268">
        <v>45677</v>
      </c>
      <c r="AZ372" s="172" t="s">
        <v>538</v>
      </c>
      <c r="BA372" s="173"/>
      <c r="BB372" s="127" t="s">
        <v>20</v>
      </c>
      <c r="BC372" s="121" t="s">
        <v>539</v>
      </c>
      <c r="BD372" s="121" t="s">
        <v>21</v>
      </c>
      <c r="BE372" s="269">
        <f>BF372-1</f>
        <v>45706</v>
      </c>
      <c r="BF372" s="269">
        <v>45707</v>
      </c>
      <c r="BG372" s="15" t="s">
        <v>574</v>
      </c>
      <c r="BH372" s="167"/>
      <c r="BI372" s="127" t="s">
        <v>20</v>
      </c>
      <c r="BJ372" s="121">
        <v>45810</v>
      </c>
      <c r="BK372" s="121">
        <v>45810</v>
      </c>
      <c r="BL372" s="25">
        <v>980</v>
      </c>
      <c r="BM372" s="24" t="s">
        <v>586</v>
      </c>
    </row>
    <row r="373" spans="1:66" ht="14.25" customHeight="1">
      <c r="A373" s="15" t="s">
        <v>0</v>
      </c>
      <c r="B373" s="19"/>
      <c r="C373" s="169"/>
      <c r="D373" s="120"/>
      <c r="E373" s="120"/>
      <c r="F373" s="120"/>
      <c r="G373" s="120"/>
      <c r="H373" s="170"/>
      <c r="I373" s="19"/>
      <c r="J373" s="19"/>
      <c r="K373" s="171"/>
      <c r="L373" s="163"/>
      <c r="M373" s="15"/>
      <c r="N373" s="15"/>
      <c r="O373" s="15"/>
      <c r="P373" s="165"/>
      <c r="Q373" s="163"/>
      <c r="R373" s="15"/>
      <c r="S373" s="165"/>
      <c r="T373" s="166"/>
      <c r="U373" s="166"/>
      <c r="V373" s="16">
        <v>359</v>
      </c>
      <c r="W373" s="15" t="s">
        <v>499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67"/>
      <c r="AM373" s="15"/>
      <c r="AN373" s="24"/>
      <c r="AO373" s="24"/>
      <c r="AP373" s="24"/>
      <c r="AQ373" s="24"/>
      <c r="AR373" s="24"/>
      <c r="AS373" s="25"/>
      <c r="AT373" s="25"/>
      <c r="AU373" s="168"/>
      <c r="AV373" s="15"/>
      <c r="AW373" s="24"/>
      <c r="AX373" s="268"/>
      <c r="AY373" s="268"/>
      <c r="AZ373" s="24"/>
      <c r="BA373" s="168"/>
      <c r="BB373" s="24"/>
      <c r="BC373" s="24"/>
      <c r="BD373" s="24"/>
      <c r="BE373" s="24"/>
      <c r="BF373" s="24"/>
      <c r="BG373" s="24"/>
      <c r="BH373" s="16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69" t="s">
        <v>56</v>
      </c>
      <c r="D374" s="120">
        <v>7.6219999999999999</v>
      </c>
      <c r="E374" s="120">
        <f>D374*4</f>
        <v>30.488</v>
      </c>
      <c r="F374" s="120">
        <f>E374*8</f>
        <v>243.904</v>
      </c>
      <c r="G374" s="120"/>
      <c r="H374" s="170"/>
      <c r="I374" s="19"/>
      <c r="J374" s="19"/>
      <c r="K374" s="171"/>
      <c r="L374" s="163">
        <v>2.6789999999999998</v>
      </c>
      <c r="M374" s="15">
        <v>3.133</v>
      </c>
      <c r="N374" s="15">
        <v>2.5000000000000001E-3</v>
      </c>
      <c r="O374" s="15">
        <v>0.23299999999999998</v>
      </c>
      <c r="P374" s="165">
        <f t="shared" si="123"/>
        <v>6.0474999999999994</v>
      </c>
      <c r="Q374" s="163">
        <v>0.24399999999999999</v>
      </c>
      <c r="R374" s="15">
        <v>5.0000000000000001E-3</v>
      </c>
      <c r="S374" s="165">
        <f t="shared" si="119"/>
        <v>0.249</v>
      </c>
      <c r="T374" s="166" t="s">
        <v>598</v>
      </c>
      <c r="U374" s="188" t="s">
        <v>568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67"/>
      <c r="AM374" s="127" t="s">
        <v>20</v>
      </c>
      <c r="AN374" s="121" t="str">
        <f>AO374</f>
        <v>D</v>
      </c>
      <c r="AO374" s="121" t="s">
        <v>21</v>
      </c>
      <c r="AP374" s="338">
        <f>AQ374-6</f>
        <v>45636</v>
      </c>
      <c r="AQ374" s="338">
        <f t="shared" ref="AQ374" si="156">AR374-2</f>
        <v>45642</v>
      </c>
      <c r="AR374" s="338">
        <f t="shared" ref="AR374" si="157">AS374-2</f>
        <v>45644</v>
      </c>
      <c r="AS374" s="507">
        <v>45646</v>
      </c>
      <c r="AT374" s="25" t="s">
        <v>588</v>
      </c>
      <c r="AU374" s="173"/>
      <c r="AV374" s="127" t="s">
        <v>20</v>
      </c>
      <c r="AW374" s="15" t="s">
        <v>6</v>
      </c>
      <c r="AX374" s="268">
        <v>45648</v>
      </c>
      <c r="AY374" s="268">
        <v>45648</v>
      </c>
      <c r="AZ374" s="19" t="s">
        <v>589</v>
      </c>
      <c r="BA374" s="184"/>
      <c r="BB374" s="127" t="s">
        <v>20</v>
      </c>
      <c r="BC374" s="121"/>
      <c r="BD374" s="121" t="s">
        <v>21</v>
      </c>
      <c r="BE374" s="269">
        <f>BF374-2</f>
        <v>45707</v>
      </c>
      <c r="BF374" s="269">
        <v>45709</v>
      </c>
      <c r="BG374" s="15" t="s">
        <v>574</v>
      </c>
      <c r="BH374" s="167"/>
      <c r="BI374" s="127" t="s">
        <v>20</v>
      </c>
      <c r="BJ374" s="121">
        <v>45810</v>
      </c>
      <c r="BK374" s="121">
        <v>45810</v>
      </c>
      <c r="BL374" s="25">
        <v>1545</v>
      </c>
      <c r="BM374" s="24" t="s">
        <v>586</v>
      </c>
    </row>
    <row r="375" spans="1:66" ht="14.25" customHeight="1">
      <c r="A375" s="15" t="s">
        <v>0</v>
      </c>
      <c r="B375" s="19"/>
      <c r="C375" s="169"/>
      <c r="D375" s="120"/>
      <c r="E375" s="120"/>
      <c r="F375" s="120"/>
      <c r="G375" s="120"/>
      <c r="H375" s="170"/>
      <c r="I375" s="19"/>
      <c r="J375" s="19"/>
      <c r="K375" s="171"/>
      <c r="L375" s="163"/>
      <c r="M375" s="15"/>
      <c r="N375" s="15"/>
      <c r="O375" s="15"/>
      <c r="P375" s="165"/>
      <c r="Q375" s="163"/>
      <c r="R375" s="15"/>
      <c r="S375" s="165"/>
      <c r="T375" s="166"/>
      <c r="U375" s="166"/>
      <c r="V375" s="16">
        <v>387</v>
      </c>
      <c r="W375" s="15" t="s">
        <v>499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67"/>
      <c r="AM375" s="15"/>
      <c r="AN375" s="24"/>
      <c r="AO375" s="24"/>
      <c r="AP375" s="24"/>
      <c r="AQ375" s="24"/>
      <c r="AR375" s="24"/>
      <c r="AS375" s="25"/>
      <c r="AT375" s="25"/>
      <c r="AU375" s="168"/>
      <c r="AV375" s="15"/>
      <c r="AW375" s="24"/>
      <c r="AX375" s="268"/>
      <c r="AY375" s="268"/>
      <c r="AZ375" s="24"/>
      <c r="BA375" s="168"/>
      <c r="BB375" s="24"/>
      <c r="BC375" s="24"/>
      <c r="BD375" s="24"/>
      <c r="BE375" s="24"/>
      <c r="BF375" s="24"/>
      <c r="BG375" s="24"/>
      <c r="BH375" s="16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69" t="s">
        <v>85</v>
      </c>
      <c r="D376" s="120">
        <v>8.2520000000000007</v>
      </c>
      <c r="E376" s="120">
        <f>D376*4</f>
        <v>33.008000000000003</v>
      </c>
      <c r="F376" s="120">
        <f>E376*8</f>
        <v>264.06400000000002</v>
      </c>
      <c r="G376" s="120"/>
      <c r="H376" s="170"/>
      <c r="I376" s="19"/>
      <c r="J376" s="19"/>
      <c r="K376" s="171"/>
      <c r="L376" s="16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65">
        <f t="shared" si="123"/>
        <v>7.0057</v>
      </c>
      <c r="Q376" s="163">
        <v>0.24399999999999999</v>
      </c>
      <c r="R376" s="15">
        <v>5.0000000000000001E-3</v>
      </c>
      <c r="S376" s="165">
        <f t="shared" si="119"/>
        <v>0.249</v>
      </c>
      <c r="T376" s="194"/>
      <c r="U376" s="188" t="s">
        <v>568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67"/>
      <c r="AM376" s="127" t="s">
        <v>20</v>
      </c>
      <c r="AN376" s="121" t="str">
        <f>AO376</f>
        <v>D</v>
      </c>
      <c r="AO376" s="121" t="s">
        <v>21</v>
      </c>
      <c r="AP376" s="338">
        <f t="shared" ref="AP376" si="158">AQ376-2</f>
        <v>45645</v>
      </c>
      <c r="AQ376" s="338">
        <f t="shared" ref="AQ376" si="159">AR376-2</f>
        <v>45647</v>
      </c>
      <c r="AR376" s="338">
        <f t="shared" ref="AR376" si="160">AS376-2</f>
        <v>45649</v>
      </c>
      <c r="AS376" s="507">
        <v>45651</v>
      </c>
      <c r="AT376" s="25" t="s">
        <v>588</v>
      </c>
      <c r="AU376" s="173"/>
      <c r="AV376" s="127" t="s">
        <v>20</v>
      </c>
      <c r="AW376" s="15" t="s">
        <v>6</v>
      </c>
      <c r="AX376" s="268">
        <v>45648</v>
      </c>
      <c r="AY376" s="268">
        <v>45648</v>
      </c>
      <c r="AZ376" s="19" t="s">
        <v>589</v>
      </c>
      <c r="BA376" s="184"/>
      <c r="BB376" s="127" t="s">
        <v>20</v>
      </c>
      <c r="BC376" s="121"/>
      <c r="BD376" s="121" t="s">
        <v>21</v>
      </c>
      <c r="BE376" s="269">
        <f>BF376-2</f>
        <v>45709</v>
      </c>
      <c r="BF376" s="269">
        <v>45711</v>
      </c>
      <c r="BG376" s="15" t="s">
        <v>574</v>
      </c>
      <c r="BH376" s="177"/>
      <c r="BI376" s="127" t="s">
        <v>20</v>
      </c>
      <c r="BJ376" s="121">
        <v>45780</v>
      </c>
      <c r="BK376" s="121">
        <v>45780</v>
      </c>
      <c r="BL376" s="25">
        <v>1588</v>
      </c>
      <c r="BM376" s="24" t="s">
        <v>586</v>
      </c>
    </row>
    <row r="377" spans="1:66" ht="14.25" customHeight="1">
      <c r="A377" s="15" t="s">
        <v>0</v>
      </c>
      <c r="B377" s="19"/>
      <c r="C377" s="169"/>
      <c r="D377" s="120"/>
      <c r="E377" s="120"/>
      <c r="F377" s="120"/>
      <c r="G377" s="120"/>
      <c r="H377" s="170"/>
      <c r="I377" s="19"/>
      <c r="J377" s="19"/>
      <c r="K377" s="171"/>
      <c r="L377" s="163"/>
      <c r="M377" s="15"/>
      <c r="N377" s="15"/>
      <c r="O377" s="15"/>
      <c r="P377" s="165"/>
      <c r="Q377" s="163"/>
      <c r="R377" s="15"/>
      <c r="S377" s="165"/>
      <c r="T377" s="166"/>
      <c r="U377" s="166"/>
      <c r="V377" s="16">
        <v>346</v>
      </c>
      <c r="W377" s="15" t="s">
        <v>499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67"/>
      <c r="AM377" s="15"/>
      <c r="AN377" s="24"/>
      <c r="AO377" s="24"/>
      <c r="AP377" s="24"/>
      <c r="AQ377" s="24"/>
      <c r="AR377" s="24"/>
      <c r="AS377" s="25"/>
      <c r="AT377" s="25"/>
      <c r="AU377" s="168"/>
      <c r="AV377" s="15"/>
      <c r="AW377" s="24"/>
      <c r="AX377" s="268"/>
      <c r="AY377" s="268"/>
      <c r="AZ377" s="24"/>
      <c r="BA377" s="168"/>
      <c r="BB377" s="24"/>
      <c r="BC377" s="24"/>
      <c r="BD377" s="24"/>
      <c r="BE377" s="24"/>
      <c r="BF377" s="24"/>
      <c r="BG377" s="24"/>
      <c r="BH377" s="16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69" t="s">
        <v>37</v>
      </c>
      <c r="D378" s="120">
        <v>6.992</v>
      </c>
      <c r="E378" s="120">
        <f>D378*4</f>
        <v>27.968</v>
      </c>
      <c r="F378" s="120">
        <f>E378*8</f>
        <v>223.744</v>
      </c>
      <c r="G378" s="120"/>
      <c r="H378" s="170"/>
      <c r="I378" s="19"/>
      <c r="J378" s="19"/>
      <c r="K378" s="171"/>
      <c r="L378" s="163">
        <v>2.6070000000000002</v>
      </c>
      <c r="M378" s="15">
        <v>2.657</v>
      </c>
      <c r="N378" s="15">
        <v>2E-3</v>
      </c>
      <c r="O378" s="15">
        <v>0.21299999999999999</v>
      </c>
      <c r="P378" s="165">
        <f t="shared" si="123"/>
        <v>5.4790000000000001</v>
      </c>
      <c r="Q378" s="163">
        <v>0.24399999999999999</v>
      </c>
      <c r="R378" s="15">
        <v>5.0000000000000001E-3</v>
      </c>
      <c r="S378" s="165">
        <f t="shared" si="119"/>
        <v>0.249</v>
      </c>
      <c r="T378" s="166"/>
      <c r="U378" s="188" t="s">
        <v>568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67"/>
      <c r="AM378" s="127" t="s">
        <v>20</v>
      </c>
      <c r="AN378" s="121" t="str">
        <f>AO378</f>
        <v>D</v>
      </c>
      <c r="AO378" s="121" t="s">
        <v>21</v>
      </c>
      <c r="AP378" s="338">
        <v>45648</v>
      </c>
      <c r="AQ378" s="338">
        <f>AR378-3</f>
        <v>45672</v>
      </c>
      <c r="AR378" s="338">
        <f>AS378-1</f>
        <v>45675</v>
      </c>
      <c r="AS378" s="507">
        <v>45676</v>
      </c>
      <c r="AT378" s="25" t="s">
        <v>599</v>
      </c>
      <c r="AU378" s="173"/>
      <c r="AV378" s="127" t="s">
        <v>20</v>
      </c>
      <c r="AW378" s="15" t="s">
        <v>6</v>
      </c>
      <c r="AX378" s="268">
        <f>AY378</f>
        <v>45723</v>
      </c>
      <c r="AY378" s="268">
        <v>45723</v>
      </c>
      <c r="AZ378" s="24" t="s">
        <v>592</v>
      </c>
      <c r="BA378" s="168"/>
      <c r="BB378" s="127" t="s">
        <v>20</v>
      </c>
      <c r="BC378" s="121"/>
      <c r="BD378" s="121" t="s">
        <v>21</v>
      </c>
      <c r="BE378" s="269">
        <f>BF378-1</f>
        <v>45714</v>
      </c>
      <c r="BF378" s="269">
        <v>45715</v>
      </c>
      <c r="BG378" s="15" t="s">
        <v>574</v>
      </c>
      <c r="BH378" s="167"/>
      <c r="BI378" s="127" t="s">
        <v>20</v>
      </c>
      <c r="BJ378" s="121">
        <v>45780</v>
      </c>
      <c r="BK378" s="121">
        <v>45780</v>
      </c>
      <c r="BL378" s="25">
        <v>1330</v>
      </c>
      <c r="BM378" s="24" t="s">
        <v>586</v>
      </c>
    </row>
    <row r="379" spans="1:66" ht="14.25" customHeight="1">
      <c r="A379" s="15" t="s">
        <v>0</v>
      </c>
      <c r="B379" s="19"/>
      <c r="C379" s="169"/>
      <c r="D379" s="120"/>
      <c r="E379" s="120"/>
      <c r="F379" s="120"/>
      <c r="G379" s="120"/>
      <c r="H379" s="170"/>
      <c r="I379" s="19"/>
      <c r="J379" s="19"/>
      <c r="K379" s="171"/>
      <c r="L379" s="163"/>
      <c r="M379" s="15"/>
      <c r="N379" s="15"/>
      <c r="O379" s="15"/>
      <c r="P379" s="165"/>
      <c r="Q379" s="163"/>
      <c r="R379" s="15"/>
      <c r="S379" s="165"/>
      <c r="T379" s="166"/>
      <c r="U379" s="166"/>
      <c r="V379" s="15">
        <v>375.54500000000002</v>
      </c>
      <c r="W379" s="15" t="s">
        <v>499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67"/>
      <c r="AM379" s="15"/>
      <c r="AN379" s="24"/>
      <c r="AO379" s="24"/>
      <c r="AP379" s="24"/>
      <c r="AQ379" s="24"/>
      <c r="AR379" s="24"/>
      <c r="AS379" s="25"/>
      <c r="AT379" s="25"/>
      <c r="AU379" s="168"/>
      <c r="AV379" s="15"/>
      <c r="AW379" s="24"/>
      <c r="AX379" s="268"/>
      <c r="AY379" s="268"/>
      <c r="AZ379" s="24"/>
      <c r="BA379" s="168"/>
      <c r="BB379" s="24"/>
      <c r="BC379" s="24"/>
      <c r="BD379" s="24"/>
      <c r="BE379" s="24"/>
      <c r="BF379" s="24"/>
      <c r="BG379" s="24"/>
      <c r="BH379" s="16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69" t="s">
        <v>89</v>
      </c>
      <c r="D380" s="120">
        <v>8.6300000000000008</v>
      </c>
      <c r="E380" s="120">
        <f>D380*4</f>
        <v>34.520000000000003</v>
      </c>
      <c r="F380" s="120">
        <f>E380*8</f>
        <v>276.16000000000003</v>
      </c>
      <c r="G380" s="120"/>
      <c r="H380" s="170"/>
      <c r="I380" s="19"/>
      <c r="J380" s="19"/>
      <c r="K380" s="171"/>
      <c r="L380" s="163">
        <v>3.867</v>
      </c>
      <c r="M380" s="15">
        <v>3.306</v>
      </c>
      <c r="N380" s="15">
        <v>5.0000000000000001E-3</v>
      </c>
      <c r="O380" s="15">
        <v>0.27600000000000002</v>
      </c>
      <c r="P380" s="165">
        <f t="shared" si="123"/>
        <v>7.4539999999999997</v>
      </c>
      <c r="Q380" s="163">
        <v>0.36299999999999999</v>
      </c>
      <c r="R380" s="15">
        <v>6.0000000000000001E-3</v>
      </c>
      <c r="S380" s="165">
        <f t="shared" si="119"/>
        <v>0.36899999999999999</v>
      </c>
      <c r="T380" s="166"/>
      <c r="U380" s="188" t="s">
        <v>568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76">
        <v>73.73</v>
      </c>
      <c r="AE380" s="176">
        <v>301.5</v>
      </c>
      <c r="AF380" s="176"/>
      <c r="AG380" s="176">
        <v>206.46</v>
      </c>
      <c r="AH380" s="176"/>
      <c r="AI380" s="176"/>
      <c r="AJ380" s="176">
        <v>581.69000000000005</v>
      </c>
      <c r="AK380" s="15">
        <v>0.58169000000000004</v>
      </c>
      <c r="AL380" s="167"/>
      <c r="AM380" s="127" t="s">
        <v>20</v>
      </c>
      <c r="AN380" s="121" t="str">
        <f>AO380</f>
        <v>D</v>
      </c>
      <c r="AO380" s="121" t="s">
        <v>21</v>
      </c>
      <c r="AP380" s="338">
        <v>45650</v>
      </c>
      <c r="AQ380" s="338">
        <f t="shared" ref="AQ380" si="161">AR380-1</f>
        <v>45652</v>
      </c>
      <c r="AR380" s="338">
        <f t="shared" ref="AR380" si="162">AS380-1</f>
        <v>45653</v>
      </c>
      <c r="AS380" s="507">
        <v>45654</v>
      </c>
      <c r="AT380" s="25" t="s">
        <v>537</v>
      </c>
      <c r="AU380" s="168"/>
      <c r="AV380" s="127" t="s">
        <v>20</v>
      </c>
      <c r="AW380" s="15" t="s">
        <v>6</v>
      </c>
      <c r="AX380" s="268">
        <v>45655</v>
      </c>
      <c r="AY380" s="268">
        <f>AX380</f>
        <v>45655</v>
      </c>
      <c r="AZ380" s="172" t="s">
        <v>538</v>
      </c>
      <c r="BA380" s="173"/>
      <c r="BB380" s="127" t="s">
        <v>20</v>
      </c>
      <c r="BC380" s="121"/>
      <c r="BD380" s="121" t="s">
        <v>21</v>
      </c>
      <c r="BE380" s="269">
        <f>BF380-2</f>
        <v>45711</v>
      </c>
      <c r="BF380" s="269">
        <v>45713</v>
      </c>
      <c r="BG380" s="15" t="s">
        <v>574</v>
      </c>
      <c r="BH380" s="178"/>
      <c r="BI380" s="127" t="s">
        <v>20</v>
      </c>
      <c r="BJ380" s="121">
        <v>45815</v>
      </c>
      <c r="BK380" s="121">
        <v>45815</v>
      </c>
      <c r="BL380" s="25">
        <v>1560</v>
      </c>
      <c r="BM380" s="24" t="s">
        <v>586</v>
      </c>
    </row>
    <row r="381" spans="1:66" ht="14.25" customHeight="1">
      <c r="A381" s="15" t="s">
        <v>0</v>
      </c>
      <c r="B381" s="19"/>
      <c r="C381" s="169"/>
      <c r="D381" s="120"/>
      <c r="E381" s="120"/>
      <c r="F381" s="120"/>
      <c r="G381" s="120"/>
      <c r="H381" s="170"/>
      <c r="I381" s="19"/>
      <c r="J381" s="19"/>
      <c r="K381" s="171"/>
      <c r="L381" s="163"/>
      <c r="M381" s="15"/>
      <c r="N381" s="15"/>
      <c r="O381" s="15"/>
      <c r="P381" s="165"/>
      <c r="Q381" s="163"/>
      <c r="R381" s="15"/>
      <c r="S381" s="165"/>
      <c r="T381" s="166"/>
      <c r="U381" s="166"/>
      <c r="V381" s="15">
        <v>341.74</v>
      </c>
      <c r="W381" s="15" t="s">
        <v>499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67"/>
      <c r="AM381" s="15"/>
      <c r="AN381" s="24"/>
      <c r="AO381" s="24"/>
      <c r="AP381" s="24"/>
      <c r="AQ381" s="24"/>
      <c r="AR381" s="24"/>
      <c r="AS381" s="25"/>
      <c r="AT381" s="25"/>
      <c r="AU381" s="168"/>
      <c r="AV381" s="15"/>
      <c r="AW381" s="24"/>
      <c r="AX381" s="268"/>
      <c r="AY381" s="268"/>
      <c r="AZ381" s="24"/>
      <c r="BA381" s="168"/>
      <c r="BB381" s="24"/>
      <c r="BC381" s="24"/>
      <c r="BD381" s="24"/>
      <c r="BE381" s="24"/>
      <c r="BF381" s="24"/>
      <c r="BG381" s="24"/>
      <c r="BH381" s="16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69" t="s">
        <v>42</v>
      </c>
      <c r="D382" s="120">
        <v>6.3620000000000001</v>
      </c>
      <c r="E382" s="120">
        <f>D382*4</f>
        <v>25.448</v>
      </c>
      <c r="F382" s="120">
        <f>E382*8</f>
        <v>203.584</v>
      </c>
      <c r="G382" s="120"/>
      <c r="H382" s="170"/>
      <c r="I382" s="19"/>
      <c r="J382" s="19"/>
      <c r="K382" s="171"/>
      <c r="L382" s="163">
        <v>2.25</v>
      </c>
      <c r="M382" s="15">
        <v>2.1880000000000002</v>
      </c>
      <c r="N382" s="15">
        <v>2E-3</v>
      </c>
      <c r="O382" s="15">
        <v>0.183</v>
      </c>
      <c r="P382" s="165">
        <f t="shared" si="123"/>
        <v>4.6230000000000002</v>
      </c>
      <c r="Q382" s="163">
        <v>0.24399999999999999</v>
      </c>
      <c r="R382" s="15">
        <v>5.0000000000000001E-3</v>
      </c>
      <c r="S382" s="165">
        <f t="shared" si="119"/>
        <v>0.249</v>
      </c>
      <c r="T382" s="166"/>
      <c r="U382" s="188" t="s">
        <v>568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67"/>
      <c r="AM382" s="127" t="s">
        <v>20</v>
      </c>
      <c r="AN382" s="121" t="str">
        <f>AO382</f>
        <v>D</v>
      </c>
      <c r="AO382" s="121" t="s">
        <v>21</v>
      </c>
      <c r="AP382" s="338">
        <v>45651</v>
      </c>
      <c r="AQ382" s="338">
        <f t="shared" ref="AQ382" si="163">AR382-1</f>
        <v>45652</v>
      </c>
      <c r="AR382" s="338">
        <f t="shared" ref="AR382" si="164">AS382-1</f>
        <v>45653</v>
      </c>
      <c r="AS382" s="507">
        <v>45654</v>
      </c>
      <c r="AT382" s="25" t="s">
        <v>600</v>
      </c>
      <c r="AU382" s="173"/>
      <c r="AV382" s="127" t="s">
        <v>20</v>
      </c>
      <c r="AW382" s="15" t="s">
        <v>6</v>
      </c>
      <c r="AX382" s="268">
        <v>45655</v>
      </c>
      <c r="AY382" s="268">
        <f>AX382</f>
        <v>45655</v>
      </c>
      <c r="AZ382" s="24" t="s">
        <v>592</v>
      </c>
      <c r="BA382" s="168"/>
      <c r="BB382" s="127" t="s">
        <v>20</v>
      </c>
      <c r="BC382" s="121"/>
      <c r="BD382" s="121" t="s">
        <v>21</v>
      </c>
      <c r="BE382" s="269">
        <f>BF382-2</f>
        <v>45714</v>
      </c>
      <c r="BF382" s="269">
        <v>45716</v>
      </c>
      <c r="BG382" s="15" t="s">
        <v>574</v>
      </c>
      <c r="BH382" s="167"/>
      <c r="BI382" s="127" t="s">
        <v>20</v>
      </c>
      <c r="BJ382" s="121">
        <v>45815</v>
      </c>
      <c r="BK382" s="121">
        <v>45815</v>
      </c>
      <c r="BL382" s="25">
        <v>980</v>
      </c>
      <c r="BM382" s="24" t="s">
        <v>586</v>
      </c>
    </row>
    <row r="383" spans="1:66" ht="14.25" customHeight="1">
      <c r="A383" s="15" t="s">
        <v>0</v>
      </c>
      <c r="B383" s="19"/>
      <c r="C383" s="169"/>
      <c r="D383" s="120"/>
      <c r="E383" s="120"/>
      <c r="F383" s="120"/>
      <c r="G383" s="120"/>
      <c r="H383" s="170"/>
      <c r="I383" s="19"/>
      <c r="J383" s="19"/>
      <c r="K383" s="171"/>
      <c r="L383" s="163"/>
      <c r="M383" s="15"/>
      <c r="N383" s="15"/>
      <c r="O383" s="15"/>
      <c r="P383" s="165"/>
      <c r="Q383" s="163"/>
      <c r="R383" s="15"/>
      <c r="S383" s="165"/>
      <c r="T383" s="166"/>
      <c r="U383" s="166"/>
      <c r="V383" s="15">
        <v>321.51</v>
      </c>
      <c r="W383" s="15" t="s">
        <v>499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67"/>
      <c r="AM383" s="15"/>
      <c r="AN383" s="121"/>
      <c r="AO383" s="121"/>
      <c r="AP383" s="121"/>
      <c r="AQ383" s="121"/>
      <c r="AR383" s="121"/>
      <c r="AS383" s="124"/>
      <c r="AT383" s="25"/>
      <c r="AU383" s="173"/>
      <c r="AV383" s="15"/>
      <c r="AW383" s="15"/>
      <c r="AX383" s="268"/>
      <c r="AY383" s="268"/>
      <c r="AZ383" s="172"/>
      <c r="BA383" s="173"/>
      <c r="BB383" s="15"/>
      <c r="BC383" s="121"/>
      <c r="BD383" s="121"/>
      <c r="BE383" s="121"/>
      <c r="BF383" s="121"/>
      <c r="BG383" s="15"/>
      <c r="BH383" s="167"/>
      <c r="BI383" s="15"/>
      <c r="BJ383" s="121"/>
      <c r="BK383" s="121"/>
      <c r="BL383" s="121"/>
      <c r="BM383" s="24"/>
    </row>
    <row r="384" spans="1:66" ht="14.25" customHeight="1">
      <c r="A384" s="15">
        <f t="shared" si="132"/>
        <v>188</v>
      </c>
      <c r="B384" s="19" t="s">
        <v>281</v>
      </c>
      <c r="C384" s="169" t="s">
        <v>42</v>
      </c>
      <c r="D384" s="120">
        <v>6.3620000000000001</v>
      </c>
      <c r="E384" s="120">
        <f>D384*4</f>
        <v>25.448</v>
      </c>
      <c r="F384" s="120">
        <f>E384*8</f>
        <v>203.584</v>
      </c>
      <c r="G384" s="120"/>
      <c r="H384" s="170"/>
      <c r="I384" s="19"/>
      <c r="J384" s="19"/>
      <c r="K384" s="171"/>
      <c r="L384" s="163">
        <v>2.25</v>
      </c>
      <c r="M384" s="15">
        <v>2.1880000000000002</v>
      </c>
      <c r="N384" s="15">
        <v>2E-3</v>
      </c>
      <c r="O384" s="15">
        <v>0.183</v>
      </c>
      <c r="P384" s="165">
        <f t="shared" si="123"/>
        <v>4.6230000000000002</v>
      </c>
      <c r="Q384" s="163">
        <v>0.24399999999999999</v>
      </c>
      <c r="R384" s="15">
        <v>5.0000000000000001E-3</v>
      </c>
      <c r="S384" s="165">
        <f t="shared" si="119"/>
        <v>0.249</v>
      </c>
      <c r="T384" s="166"/>
      <c r="U384" s="188" t="s">
        <v>568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67"/>
      <c r="AM384" s="127" t="s">
        <v>20</v>
      </c>
      <c r="AN384" s="121" t="str">
        <f>AO384</f>
        <v>D</v>
      </c>
      <c r="AO384" s="121" t="s">
        <v>21</v>
      </c>
      <c r="AP384" s="338">
        <v>45652</v>
      </c>
      <c r="AQ384" s="338">
        <f>AR384-1</f>
        <v>45660</v>
      </c>
      <c r="AR384" s="338">
        <f>AS384-2</f>
        <v>45661</v>
      </c>
      <c r="AS384" s="507">
        <v>45663</v>
      </c>
      <c r="AT384" s="25" t="s">
        <v>600</v>
      </c>
      <c r="AU384" s="173"/>
      <c r="AV384" s="127" t="s">
        <v>20</v>
      </c>
      <c r="AW384" s="15" t="s">
        <v>6</v>
      </c>
      <c r="AX384" s="268">
        <v>45721</v>
      </c>
      <c r="AY384" s="268">
        <v>45721</v>
      </c>
      <c r="AZ384" s="24" t="s">
        <v>592</v>
      </c>
      <c r="BA384" s="168"/>
      <c r="BB384" s="127" t="s">
        <v>20</v>
      </c>
      <c r="BC384" s="121"/>
      <c r="BD384" s="121" t="s">
        <v>21</v>
      </c>
      <c r="BE384" s="269">
        <f>BF384-1</f>
        <v>45718</v>
      </c>
      <c r="BF384" s="269">
        <v>45719</v>
      </c>
      <c r="BG384" s="15" t="s">
        <v>574</v>
      </c>
      <c r="BH384" s="167"/>
      <c r="BI384" s="127" t="s">
        <v>20</v>
      </c>
      <c r="BJ384" s="121">
        <v>45816</v>
      </c>
      <c r="BK384" s="121">
        <v>45816</v>
      </c>
      <c r="BL384" s="25">
        <v>980</v>
      </c>
      <c r="BM384" s="24" t="s">
        <v>586</v>
      </c>
    </row>
    <row r="385" spans="1:65" ht="14.25" customHeight="1">
      <c r="A385" s="15" t="s">
        <v>0</v>
      </c>
      <c r="B385" s="19"/>
      <c r="C385" s="169"/>
      <c r="D385" s="120"/>
      <c r="E385" s="120"/>
      <c r="F385" s="120"/>
      <c r="G385" s="120"/>
      <c r="H385" s="170"/>
      <c r="I385" s="19"/>
      <c r="J385" s="19"/>
      <c r="K385" s="171"/>
      <c r="L385" s="163"/>
      <c r="M385" s="15"/>
      <c r="N385" s="15"/>
      <c r="O385" s="15"/>
      <c r="P385" s="165"/>
      <c r="Q385" s="163"/>
      <c r="R385" s="15"/>
      <c r="S385" s="165"/>
      <c r="T385" s="166"/>
      <c r="U385" s="166"/>
      <c r="V385" s="15">
        <v>312.39</v>
      </c>
      <c r="W385" s="15" t="s">
        <v>499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67"/>
      <c r="AM385" s="15"/>
      <c r="AN385" s="121"/>
      <c r="AO385" s="121"/>
      <c r="AP385" s="121"/>
      <c r="AQ385" s="121"/>
      <c r="AR385" s="121"/>
      <c r="AS385" s="124"/>
      <c r="AT385" s="25"/>
      <c r="AU385" s="173"/>
      <c r="AV385" s="15"/>
      <c r="AW385" s="15"/>
      <c r="AX385" s="268"/>
      <c r="AY385" s="268"/>
      <c r="AZ385" s="172"/>
      <c r="BA385" s="173"/>
      <c r="BB385" s="15"/>
      <c r="BC385" s="121"/>
      <c r="BD385" s="121"/>
      <c r="BE385" s="121"/>
      <c r="BF385" s="121"/>
      <c r="BG385" s="15"/>
      <c r="BH385" s="167"/>
      <c r="BI385" s="15"/>
      <c r="BJ385" s="121"/>
      <c r="BK385" s="121"/>
      <c r="BL385" s="121"/>
      <c r="BM385" s="24"/>
    </row>
    <row r="386" spans="1:65" ht="14.25" customHeight="1">
      <c r="A386" s="15">
        <f t="shared" si="132"/>
        <v>189</v>
      </c>
      <c r="B386" s="19" t="s">
        <v>282</v>
      </c>
      <c r="C386" s="169" t="s">
        <v>42</v>
      </c>
      <c r="D386" s="120">
        <v>6.3620000000000001</v>
      </c>
      <c r="E386" s="120">
        <f>D386*4</f>
        <v>25.448</v>
      </c>
      <c r="F386" s="120">
        <f>E386*8</f>
        <v>203.584</v>
      </c>
      <c r="G386" s="120"/>
      <c r="H386" s="170"/>
      <c r="I386" s="19"/>
      <c r="J386" s="19"/>
      <c r="K386" s="171"/>
      <c r="L386" s="163">
        <v>2.25</v>
      </c>
      <c r="M386" s="15">
        <v>2.1880000000000002</v>
      </c>
      <c r="N386" s="15">
        <v>2E-3</v>
      </c>
      <c r="O386" s="15">
        <v>0.183</v>
      </c>
      <c r="P386" s="165">
        <f t="shared" si="123"/>
        <v>4.6230000000000002</v>
      </c>
      <c r="Q386" s="163">
        <v>0.24399999999999999</v>
      </c>
      <c r="R386" s="15">
        <v>5.0000000000000001E-3</v>
      </c>
      <c r="S386" s="165">
        <f t="shared" si="119"/>
        <v>0.249</v>
      </c>
      <c r="T386" s="166"/>
      <c r="U386" s="188" t="s">
        <v>568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67"/>
      <c r="AM386" s="127" t="s">
        <v>20</v>
      </c>
      <c r="AN386" s="121" t="str">
        <f>AO386</f>
        <v>D</v>
      </c>
      <c r="AO386" s="121" t="s">
        <v>21</v>
      </c>
      <c r="AP386" s="338">
        <v>45654</v>
      </c>
      <c r="AQ386" s="338">
        <f t="shared" ref="AQ386" si="165">AP386+1</f>
        <v>45655</v>
      </c>
      <c r="AR386" s="338">
        <f t="shared" ref="AR386" si="166">AQ386+1</f>
        <v>45656</v>
      </c>
      <c r="AS386" s="507">
        <v>45657</v>
      </c>
      <c r="AT386" s="15" t="s">
        <v>538</v>
      </c>
      <c r="AU386" s="184"/>
      <c r="AV386" s="127" t="s">
        <v>20</v>
      </c>
      <c r="AW386" s="15" t="s">
        <v>6</v>
      </c>
      <c r="AX386" s="268">
        <v>45655</v>
      </c>
      <c r="AY386" s="268">
        <f>AX386</f>
        <v>45655</v>
      </c>
      <c r="AZ386" s="172" t="s">
        <v>538</v>
      </c>
      <c r="BA386" s="173"/>
      <c r="BB386" s="127" t="s">
        <v>20</v>
      </c>
      <c r="BC386" s="121"/>
      <c r="BD386" s="121" t="s">
        <v>21</v>
      </c>
      <c r="BE386" s="269">
        <f>BF386-2</f>
        <v>45687</v>
      </c>
      <c r="BF386" s="269">
        <v>45689</v>
      </c>
      <c r="BG386" s="15" t="s">
        <v>574</v>
      </c>
      <c r="BH386" s="167"/>
      <c r="BI386" s="127" t="s">
        <v>20</v>
      </c>
      <c r="BJ386" s="121">
        <v>45816</v>
      </c>
      <c r="BK386" s="121">
        <v>45816</v>
      </c>
      <c r="BL386" s="25">
        <v>980</v>
      </c>
      <c r="BM386" s="24" t="s">
        <v>586</v>
      </c>
    </row>
    <row r="387" spans="1:65" ht="14.25" customHeight="1">
      <c r="A387" s="15" t="s">
        <v>0</v>
      </c>
      <c r="B387" s="19"/>
      <c r="C387" s="169"/>
      <c r="D387" s="120"/>
      <c r="E387" s="120"/>
      <c r="F387" s="120"/>
      <c r="G387" s="120"/>
      <c r="H387" s="170"/>
      <c r="I387" s="19"/>
      <c r="J387" s="19"/>
      <c r="K387" s="171"/>
      <c r="L387" s="163"/>
      <c r="M387" s="15"/>
      <c r="N387" s="15"/>
      <c r="O387" s="15"/>
      <c r="P387" s="165"/>
      <c r="Q387" s="163"/>
      <c r="R387" s="15"/>
      <c r="S387" s="165"/>
      <c r="T387" s="166"/>
      <c r="U387" s="166"/>
      <c r="V387" s="15">
        <v>358.35</v>
      </c>
      <c r="W387" s="15" t="s">
        <v>499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67"/>
      <c r="AM387" s="15"/>
      <c r="AN387" s="121"/>
      <c r="AO387" s="121"/>
      <c r="AP387" s="121"/>
      <c r="AQ387" s="121"/>
      <c r="AR387" s="121"/>
      <c r="AS387" s="124"/>
      <c r="AT387" s="25"/>
      <c r="AU387" s="173"/>
      <c r="AV387" s="15"/>
      <c r="AW387" s="15"/>
      <c r="AX387" s="268"/>
      <c r="AY387" s="268"/>
      <c r="AZ387" s="172"/>
      <c r="BA387" s="173"/>
      <c r="BB387" s="15"/>
      <c r="BC387" s="121"/>
      <c r="BD387" s="121"/>
      <c r="BE387" s="121"/>
      <c r="BF387" s="121"/>
      <c r="BG387" s="15"/>
      <c r="BH387" s="167"/>
      <c r="BI387" s="15"/>
      <c r="BJ387" s="121"/>
      <c r="BK387" s="121"/>
      <c r="BL387" s="121"/>
      <c r="BM387" s="24"/>
    </row>
    <row r="388" spans="1:65" ht="14.25" customHeight="1">
      <c r="A388" s="15">
        <f t="shared" si="132"/>
        <v>190</v>
      </c>
      <c r="B388" s="19" t="s">
        <v>283</v>
      </c>
      <c r="C388" s="169" t="s">
        <v>42</v>
      </c>
      <c r="D388" s="120">
        <v>6.3620000000000001</v>
      </c>
      <c r="E388" s="120">
        <f>D388*4</f>
        <v>25.448</v>
      </c>
      <c r="F388" s="120">
        <f>E388*8</f>
        <v>203.584</v>
      </c>
      <c r="G388" s="120"/>
      <c r="H388" s="170"/>
      <c r="I388" s="19"/>
      <c r="J388" s="19"/>
      <c r="K388" s="171"/>
      <c r="L388" s="163">
        <v>2.25</v>
      </c>
      <c r="M388" s="15">
        <v>2.1880000000000002</v>
      </c>
      <c r="N388" s="15">
        <v>2E-3</v>
      </c>
      <c r="O388" s="15">
        <v>0.183</v>
      </c>
      <c r="P388" s="165">
        <f t="shared" si="123"/>
        <v>4.6230000000000002</v>
      </c>
      <c r="Q388" s="163">
        <v>0.24399999999999999</v>
      </c>
      <c r="R388" s="15">
        <v>5.0000000000000001E-3</v>
      </c>
      <c r="S388" s="165">
        <f t="shared" si="119"/>
        <v>0.249</v>
      </c>
      <c r="T388" s="166"/>
      <c r="U388" s="188" t="s">
        <v>568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67"/>
      <c r="AM388" s="127" t="s">
        <v>20</v>
      </c>
      <c r="AN388" s="121" t="str">
        <f>AO388</f>
        <v>D</v>
      </c>
      <c r="AO388" s="121" t="s">
        <v>21</v>
      </c>
      <c r="AP388" s="338">
        <v>45659</v>
      </c>
      <c r="AQ388" s="338">
        <f t="shared" ref="AQ388" si="167">AR388-1</f>
        <v>45660</v>
      </c>
      <c r="AR388" s="338">
        <f t="shared" ref="AR388" si="168">AS388-1</f>
        <v>45661</v>
      </c>
      <c r="AS388" s="507">
        <v>45662</v>
      </c>
      <c r="AT388" s="15" t="s">
        <v>538</v>
      </c>
      <c r="AU388" s="184"/>
      <c r="AV388" s="127" t="s">
        <v>20</v>
      </c>
      <c r="AW388" s="15" t="s">
        <v>6</v>
      </c>
      <c r="AX388" s="268">
        <v>45655</v>
      </c>
      <c r="AY388" s="268">
        <f>AX388</f>
        <v>45655</v>
      </c>
      <c r="AZ388" s="172" t="s">
        <v>538</v>
      </c>
      <c r="BA388" s="173"/>
      <c r="BB388" s="127" t="s">
        <v>20</v>
      </c>
      <c r="BC388" s="121"/>
      <c r="BD388" s="121" t="s">
        <v>21</v>
      </c>
      <c r="BE388" s="269">
        <f>BF388-1</f>
        <v>45721</v>
      </c>
      <c r="BF388" s="269">
        <v>45722</v>
      </c>
      <c r="BG388" s="15" t="s">
        <v>547</v>
      </c>
      <c r="BH388" s="167"/>
      <c r="BI388" s="127" t="s">
        <v>20</v>
      </c>
      <c r="BJ388" s="121">
        <f>BK388</f>
        <v>45792</v>
      </c>
      <c r="BK388" s="121">
        <v>45792</v>
      </c>
      <c r="BL388" s="25">
        <v>980</v>
      </c>
      <c r="BM388" s="24" t="s">
        <v>586</v>
      </c>
    </row>
    <row r="389" spans="1:65" ht="14.25" customHeight="1">
      <c r="A389" s="15" t="s">
        <v>0</v>
      </c>
      <c r="B389" s="19"/>
      <c r="C389" s="169"/>
      <c r="D389" s="120"/>
      <c r="E389" s="120"/>
      <c r="F389" s="120"/>
      <c r="G389" s="120"/>
      <c r="H389" s="170"/>
      <c r="I389" s="19"/>
      <c r="J389" s="19"/>
      <c r="K389" s="171"/>
      <c r="L389" s="163"/>
      <c r="M389" s="15"/>
      <c r="N389" s="15"/>
      <c r="O389" s="15"/>
      <c r="P389" s="165"/>
      <c r="Q389" s="163"/>
      <c r="R389" s="15"/>
      <c r="S389" s="165"/>
      <c r="T389" s="166"/>
      <c r="U389" s="166"/>
      <c r="V389" s="15">
        <v>319.20999999999998</v>
      </c>
      <c r="W389" s="15" t="s">
        <v>499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67"/>
      <c r="AM389" s="15"/>
      <c r="AN389" s="121"/>
      <c r="AO389" s="121"/>
      <c r="AP389" s="121"/>
      <c r="AQ389" s="121"/>
      <c r="AR389" s="121"/>
      <c r="AS389" s="124"/>
      <c r="AT389" s="25"/>
      <c r="AU389" s="173"/>
      <c r="AV389" s="15"/>
      <c r="AW389" s="15"/>
      <c r="AX389" s="268"/>
      <c r="AY389" s="268"/>
      <c r="AZ389" s="172"/>
      <c r="BA389" s="173"/>
      <c r="BB389" s="15"/>
      <c r="BC389" s="121"/>
      <c r="BD389" s="121"/>
      <c r="BE389" s="121"/>
      <c r="BF389" s="121"/>
      <c r="BG389" s="15"/>
      <c r="BH389" s="167"/>
      <c r="BI389" s="15"/>
      <c r="BJ389" s="121"/>
      <c r="BK389" s="121"/>
      <c r="BL389" s="121"/>
      <c r="BM389" s="24"/>
    </row>
    <row r="390" spans="1:65" ht="14.25" customHeight="1">
      <c r="A390" s="15">
        <f t="shared" si="132"/>
        <v>191</v>
      </c>
      <c r="B390" s="19" t="s">
        <v>284</v>
      </c>
      <c r="C390" s="169" t="s">
        <v>42</v>
      </c>
      <c r="D390" s="120">
        <v>6.3620000000000001</v>
      </c>
      <c r="E390" s="120">
        <f>D390*4</f>
        <v>25.448</v>
      </c>
      <c r="F390" s="120">
        <f>E390*8</f>
        <v>203.584</v>
      </c>
      <c r="G390" s="120"/>
      <c r="H390" s="170"/>
      <c r="I390" s="19"/>
      <c r="J390" s="19"/>
      <c r="K390" s="171"/>
      <c r="L390" s="163">
        <v>2.25</v>
      </c>
      <c r="M390" s="15">
        <v>2.1880000000000002</v>
      </c>
      <c r="N390" s="15">
        <v>2E-3</v>
      </c>
      <c r="O390" s="15">
        <v>0.183</v>
      </c>
      <c r="P390" s="165">
        <f t="shared" si="123"/>
        <v>4.6230000000000002</v>
      </c>
      <c r="Q390" s="163">
        <v>0.24399999999999999</v>
      </c>
      <c r="R390" s="15">
        <v>5.0000000000000001E-3</v>
      </c>
      <c r="S390" s="165">
        <f t="shared" si="119"/>
        <v>0.249</v>
      </c>
      <c r="T390" s="166"/>
      <c r="U390" s="188" t="s">
        <v>568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67"/>
      <c r="AM390" s="127" t="s">
        <v>20</v>
      </c>
      <c r="AN390" s="121" t="str">
        <f>AO390</f>
        <v>D</v>
      </c>
      <c r="AO390" s="121" t="s">
        <v>21</v>
      </c>
      <c r="AP390" s="338">
        <v>45659</v>
      </c>
      <c r="AQ390" s="338">
        <f>AR390-3</f>
        <v>45662</v>
      </c>
      <c r="AR390" s="338">
        <f>AS390-2</f>
        <v>45665</v>
      </c>
      <c r="AS390" s="507">
        <v>45667</v>
      </c>
      <c r="AT390" s="15" t="s">
        <v>538</v>
      </c>
      <c r="AU390" s="184"/>
      <c r="AV390" s="127" t="s">
        <v>20</v>
      </c>
      <c r="AW390" s="15" t="s">
        <v>6</v>
      </c>
      <c r="AX390" s="268">
        <v>45655</v>
      </c>
      <c r="AY390" s="268">
        <f>AX390</f>
        <v>45655</v>
      </c>
      <c r="AZ390" s="172" t="s">
        <v>538</v>
      </c>
      <c r="BA390" s="173"/>
      <c r="BB390" s="127" t="s">
        <v>20</v>
      </c>
      <c r="BC390" s="121"/>
      <c r="BD390" s="121" t="s">
        <v>21</v>
      </c>
      <c r="BE390" s="269">
        <f>BF390-2</f>
        <v>45719</v>
      </c>
      <c r="BF390" s="269">
        <v>45721</v>
      </c>
      <c r="BG390" s="15" t="s">
        <v>547</v>
      </c>
      <c r="BH390" s="167"/>
      <c r="BI390" s="127" t="s">
        <v>20</v>
      </c>
      <c r="BJ390" s="121">
        <v>45792</v>
      </c>
      <c r="BK390" s="121">
        <v>45792</v>
      </c>
      <c r="BL390" s="25">
        <v>980</v>
      </c>
      <c r="BM390" s="175" t="s">
        <v>586</v>
      </c>
    </row>
    <row r="391" spans="1:65" ht="14.25" customHeight="1">
      <c r="A391" s="15" t="s">
        <v>0</v>
      </c>
      <c r="B391" s="19"/>
      <c r="C391" s="169"/>
      <c r="D391" s="120"/>
      <c r="E391" s="120"/>
      <c r="F391" s="120"/>
      <c r="G391" s="120"/>
      <c r="H391" s="170"/>
      <c r="I391" s="19"/>
      <c r="J391" s="19"/>
      <c r="K391" s="171"/>
      <c r="L391" s="163"/>
      <c r="M391" s="15"/>
      <c r="N391" s="15"/>
      <c r="O391" s="15"/>
      <c r="P391" s="165"/>
      <c r="Q391" s="163"/>
      <c r="R391" s="15"/>
      <c r="S391" s="165"/>
      <c r="T391" s="166"/>
      <c r="U391" s="166"/>
      <c r="V391" s="15">
        <v>342.4</v>
      </c>
      <c r="W391" s="15" t="s">
        <v>499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67"/>
      <c r="AM391" s="15"/>
      <c r="AN391" s="121"/>
      <c r="AO391" s="121"/>
      <c r="AP391" s="121"/>
      <c r="AQ391" s="121"/>
      <c r="AR391" s="121"/>
      <c r="AS391" s="124"/>
      <c r="AT391" s="25"/>
      <c r="AU391" s="173"/>
      <c r="AV391" s="15"/>
      <c r="AW391" s="15"/>
      <c r="AX391" s="268"/>
      <c r="AY391" s="268"/>
      <c r="AZ391" s="172"/>
      <c r="BA391" s="173"/>
      <c r="BB391" s="15"/>
      <c r="BC391" s="121"/>
      <c r="BD391" s="121"/>
      <c r="BE391" s="121"/>
      <c r="BF391" s="121"/>
      <c r="BG391" s="15"/>
      <c r="BH391" s="167"/>
      <c r="BI391" s="15"/>
      <c r="BJ391" s="121"/>
      <c r="BK391" s="121"/>
      <c r="BL391" s="121"/>
      <c r="BM391" s="24"/>
    </row>
    <row r="392" spans="1:65" ht="14.25" customHeight="1">
      <c r="A392" s="15">
        <f t="shared" si="132"/>
        <v>192</v>
      </c>
      <c r="B392" s="19" t="s">
        <v>285</v>
      </c>
      <c r="C392" s="169" t="s">
        <v>37</v>
      </c>
      <c r="D392" s="120">
        <v>6.992</v>
      </c>
      <c r="E392" s="120">
        <f>D392*4</f>
        <v>27.968</v>
      </c>
      <c r="F392" s="120">
        <f>E392*8</f>
        <v>223.744</v>
      </c>
      <c r="G392" s="120"/>
      <c r="H392" s="170"/>
      <c r="I392" s="19"/>
      <c r="J392" s="19"/>
      <c r="K392" s="171"/>
      <c r="L392" s="163">
        <v>2.6070000000000002</v>
      </c>
      <c r="M392" s="15">
        <v>2.657</v>
      </c>
      <c r="N392" s="15">
        <v>2E-3</v>
      </c>
      <c r="O392" s="15">
        <v>0.21299999999999999</v>
      </c>
      <c r="P392" s="165">
        <f t="shared" si="123"/>
        <v>5.4790000000000001</v>
      </c>
      <c r="Q392" s="163">
        <v>0.24399999999999999</v>
      </c>
      <c r="R392" s="15">
        <v>5.0000000000000001E-3</v>
      </c>
      <c r="S392" s="165">
        <f t="shared" si="119"/>
        <v>0.249</v>
      </c>
      <c r="T392" s="166"/>
      <c r="U392" s="188" t="s">
        <v>568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67"/>
      <c r="AM392" s="127" t="s">
        <v>20</v>
      </c>
      <c r="AN392" s="121" t="str">
        <f>AO392</f>
        <v>D</v>
      </c>
      <c r="AO392" s="121" t="s">
        <v>21</v>
      </c>
      <c r="AP392" s="338">
        <v>45654</v>
      </c>
      <c r="AQ392" s="338">
        <v>45654</v>
      </c>
      <c r="AR392" s="338">
        <f>AS392-1</f>
        <v>45655</v>
      </c>
      <c r="AS392" s="507">
        <v>45656</v>
      </c>
      <c r="AT392" s="25" t="s">
        <v>588</v>
      </c>
      <c r="AU392" s="173"/>
      <c r="AV392" s="127" t="s">
        <v>20</v>
      </c>
      <c r="AW392" s="15" t="s">
        <v>6</v>
      </c>
      <c r="AX392" s="268">
        <v>45655</v>
      </c>
      <c r="AY392" s="268">
        <f>AX392</f>
        <v>45655</v>
      </c>
      <c r="AZ392" s="19" t="s">
        <v>589</v>
      </c>
      <c r="BA392" s="184"/>
      <c r="BB392" s="127" t="s">
        <v>20</v>
      </c>
      <c r="BC392" s="121"/>
      <c r="BD392" s="121" t="s">
        <v>21</v>
      </c>
      <c r="BE392" s="269">
        <f>BF392-1</f>
        <v>45718</v>
      </c>
      <c r="BF392" s="269">
        <v>45719</v>
      </c>
      <c r="BG392" s="15" t="s">
        <v>547</v>
      </c>
      <c r="BH392" s="167"/>
      <c r="BI392" s="127" t="s">
        <v>20</v>
      </c>
      <c r="BJ392" s="121">
        <v>45792</v>
      </c>
      <c r="BK392" s="121">
        <v>45792</v>
      </c>
      <c r="BL392" s="25">
        <v>1330</v>
      </c>
      <c r="BM392" s="175" t="s">
        <v>586</v>
      </c>
    </row>
    <row r="393" spans="1:65" ht="14.25" customHeight="1">
      <c r="A393" s="15" t="s">
        <v>0</v>
      </c>
      <c r="B393" s="19"/>
      <c r="C393" s="169"/>
      <c r="D393" s="120"/>
      <c r="E393" s="120"/>
      <c r="F393" s="120"/>
      <c r="G393" s="120"/>
      <c r="H393" s="170"/>
      <c r="I393" s="19"/>
      <c r="J393" s="19"/>
      <c r="K393" s="171"/>
      <c r="L393" s="163"/>
      <c r="M393" s="15"/>
      <c r="N393" s="15"/>
      <c r="O393" s="15"/>
      <c r="P393" s="165"/>
      <c r="Q393" s="163"/>
      <c r="R393" s="15"/>
      <c r="S393" s="165"/>
      <c r="T393" s="166"/>
      <c r="U393" s="166"/>
      <c r="V393" s="15">
        <v>337.31</v>
      </c>
      <c r="W393" s="15" t="s">
        <v>499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67"/>
      <c r="AM393" s="15"/>
      <c r="AN393" s="121"/>
      <c r="AO393" s="121"/>
      <c r="AP393" s="121"/>
      <c r="AQ393" s="121"/>
      <c r="AR393" s="121"/>
      <c r="AS393" s="124"/>
      <c r="AT393" s="25"/>
      <c r="AU393" s="173"/>
      <c r="AV393" s="15"/>
      <c r="AW393" s="15"/>
      <c r="AX393" s="268"/>
      <c r="AY393" s="268"/>
      <c r="AZ393" s="172"/>
      <c r="BA393" s="173"/>
      <c r="BB393" s="15"/>
      <c r="BC393" s="121"/>
      <c r="BD393" s="121"/>
      <c r="BE393" s="121"/>
      <c r="BF393" s="121"/>
      <c r="BG393" s="15"/>
      <c r="BH393" s="167"/>
      <c r="BI393" s="15"/>
      <c r="BJ393" s="121"/>
      <c r="BK393" s="121"/>
      <c r="BL393" s="121"/>
      <c r="BM393" s="24"/>
    </row>
    <row r="394" spans="1:65" ht="14.25" customHeight="1">
      <c r="A394" s="15">
        <f t="shared" si="132"/>
        <v>193</v>
      </c>
      <c r="B394" s="19" t="s">
        <v>287</v>
      </c>
      <c r="C394" s="169" t="s">
        <v>89</v>
      </c>
      <c r="D394" s="120">
        <v>8.6300000000000008</v>
      </c>
      <c r="E394" s="120">
        <f>D394*4</f>
        <v>34.520000000000003</v>
      </c>
      <c r="F394" s="120">
        <f>E394*8</f>
        <v>276.16000000000003</v>
      </c>
      <c r="G394" s="120"/>
      <c r="H394" s="170"/>
      <c r="I394" s="19"/>
      <c r="J394" s="19"/>
      <c r="K394" s="171"/>
      <c r="L394" s="163">
        <v>3.867</v>
      </c>
      <c r="M394" s="15">
        <v>3.306</v>
      </c>
      <c r="N394" s="15">
        <v>5.0000000000000001E-3</v>
      </c>
      <c r="O394" s="15">
        <v>0.27600000000000002</v>
      </c>
      <c r="P394" s="165">
        <f t="shared" si="123"/>
        <v>7.4539999999999997</v>
      </c>
      <c r="Q394" s="163">
        <v>0.36299999999999999</v>
      </c>
      <c r="R394" s="15">
        <v>6.0000000000000001E-3</v>
      </c>
      <c r="S394" s="165">
        <f t="shared" ref="S394:S410" si="169">SUM(Q394:R394)</f>
        <v>0.36899999999999999</v>
      </c>
      <c r="T394" s="166"/>
      <c r="U394" s="188" t="s">
        <v>568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67"/>
      <c r="AM394" s="127" t="s">
        <v>20</v>
      </c>
      <c r="AN394" s="121" t="str">
        <f>AO394</f>
        <v>D</v>
      </c>
      <c r="AO394" s="121" t="s">
        <v>21</v>
      </c>
      <c r="AP394" s="338">
        <f t="shared" ref="AP394" si="171">AQ394-2</f>
        <v>45658</v>
      </c>
      <c r="AQ394" s="338">
        <f t="shared" ref="AQ394" si="172">AR394-2</f>
        <v>45660</v>
      </c>
      <c r="AR394" s="338">
        <f t="shared" ref="AR394" si="173">AS394-2</f>
        <v>45662</v>
      </c>
      <c r="AS394" s="507">
        <v>45664</v>
      </c>
      <c r="AT394" s="25" t="s">
        <v>588</v>
      </c>
      <c r="AU394" s="173"/>
      <c r="AV394" s="127" t="s">
        <v>20</v>
      </c>
      <c r="AW394" s="15" t="s">
        <v>6</v>
      </c>
      <c r="AX394" s="268">
        <v>45655</v>
      </c>
      <c r="AY394" s="268">
        <f>AX394</f>
        <v>45655</v>
      </c>
      <c r="AZ394" s="19" t="s">
        <v>589</v>
      </c>
      <c r="BA394" s="173"/>
      <c r="BB394" s="127" t="s">
        <v>20</v>
      </c>
      <c r="BC394" s="121"/>
      <c r="BD394" s="121" t="s">
        <v>21</v>
      </c>
      <c r="BE394" s="269">
        <f>BF394-2</f>
        <v>45716</v>
      </c>
      <c r="BF394" s="269">
        <v>45718</v>
      </c>
      <c r="BG394" s="15" t="s">
        <v>574</v>
      </c>
      <c r="BH394" s="15"/>
      <c r="BI394" s="127" t="s">
        <v>20</v>
      </c>
      <c r="BJ394" s="121">
        <v>45792</v>
      </c>
      <c r="BK394" s="121">
        <v>45792</v>
      </c>
      <c r="BL394" s="25">
        <v>1560</v>
      </c>
      <c r="BM394" s="24" t="s">
        <v>586</v>
      </c>
    </row>
    <row r="395" spans="1:65" ht="14.25" customHeight="1">
      <c r="A395" s="15" t="s">
        <v>0</v>
      </c>
      <c r="B395" s="19"/>
      <c r="C395" s="169"/>
      <c r="D395" s="120"/>
      <c r="E395" s="120"/>
      <c r="F395" s="120"/>
      <c r="G395" s="120"/>
      <c r="H395" s="170"/>
      <c r="I395" s="19"/>
      <c r="J395" s="19"/>
      <c r="K395" s="171"/>
      <c r="L395" s="163"/>
      <c r="M395" s="15"/>
      <c r="N395" s="15"/>
      <c r="O395" s="15"/>
      <c r="P395" s="165"/>
      <c r="Q395" s="163"/>
      <c r="R395" s="15"/>
      <c r="S395" s="165"/>
      <c r="T395" s="166"/>
      <c r="U395" s="166"/>
      <c r="V395" s="15">
        <v>371.81</v>
      </c>
      <c r="W395" s="15" t="s">
        <v>499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67"/>
      <c r="AM395" s="15"/>
      <c r="AN395" s="121"/>
      <c r="AO395" s="121"/>
      <c r="AP395" s="121"/>
      <c r="AQ395" s="121"/>
      <c r="AR395" s="121"/>
      <c r="AS395" s="124"/>
      <c r="AT395" s="25"/>
      <c r="AU395" s="173"/>
      <c r="AV395" s="15"/>
      <c r="AW395" s="15"/>
      <c r="AX395" s="268"/>
      <c r="AY395" s="268"/>
      <c r="AZ395" s="172"/>
      <c r="BA395" s="173"/>
      <c r="BB395" s="15"/>
      <c r="BC395" s="121"/>
      <c r="BD395" s="121"/>
      <c r="BE395" s="121"/>
      <c r="BF395" s="121"/>
      <c r="BG395" s="15"/>
      <c r="BH395" s="15"/>
      <c r="BI395" s="15"/>
      <c r="BJ395" s="121"/>
      <c r="BK395" s="121"/>
      <c r="BL395" s="121"/>
      <c r="BM395" s="24"/>
    </row>
    <row r="396" spans="1:65" ht="14.25" customHeight="1">
      <c r="A396" s="15">
        <f t="shared" si="132"/>
        <v>194</v>
      </c>
      <c r="B396" s="19" t="s">
        <v>288</v>
      </c>
      <c r="C396" s="169" t="s">
        <v>56</v>
      </c>
      <c r="D396" s="120">
        <v>7.6219999999999999</v>
      </c>
      <c r="E396" s="120">
        <f>D396*4</f>
        <v>30.488</v>
      </c>
      <c r="F396" s="120">
        <f>E396*8</f>
        <v>243.904</v>
      </c>
      <c r="G396" s="120"/>
      <c r="H396" s="170"/>
      <c r="I396" s="19"/>
      <c r="J396" s="19"/>
      <c r="K396" s="171"/>
      <c r="L396" s="163">
        <v>2.6789999999999998</v>
      </c>
      <c r="M396" s="15">
        <v>3.133</v>
      </c>
      <c r="N396" s="15">
        <v>2.5000000000000001E-3</v>
      </c>
      <c r="O396" s="15">
        <v>0.23299999999999998</v>
      </c>
      <c r="P396" s="165">
        <f t="shared" ref="P396:P410" si="174">SUM(L396:O396)</f>
        <v>6.0474999999999994</v>
      </c>
      <c r="Q396" s="163">
        <v>0.53700000000000003</v>
      </c>
      <c r="R396" s="15">
        <v>1.0999999999999999E-2</v>
      </c>
      <c r="S396" s="165">
        <f t="shared" si="169"/>
        <v>0.54800000000000004</v>
      </c>
      <c r="T396" s="166"/>
      <c r="U396" s="188" t="s">
        <v>568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27" t="s">
        <v>20</v>
      </c>
      <c r="AN396" s="121" t="s">
        <v>546</v>
      </c>
      <c r="AO396" s="121" t="s">
        <v>21</v>
      </c>
      <c r="AP396" s="338">
        <v>45667</v>
      </c>
      <c r="AQ396" s="338">
        <f>AR396-1</f>
        <v>45669</v>
      </c>
      <c r="AR396" s="338">
        <f>AS396-2</f>
        <v>45670</v>
      </c>
      <c r="AS396" s="507">
        <v>45672</v>
      </c>
      <c r="AT396" s="25" t="s">
        <v>588</v>
      </c>
      <c r="AU396" s="173"/>
      <c r="AV396" s="127" t="s">
        <v>20</v>
      </c>
      <c r="AW396" s="15" t="s">
        <v>6</v>
      </c>
      <c r="AX396" s="268">
        <v>45700</v>
      </c>
      <c r="AY396" s="268">
        <v>45700</v>
      </c>
      <c r="AZ396" s="172" t="s">
        <v>588</v>
      </c>
      <c r="BA396" s="173"/>
      <c r="BB396" s="127" t="s">
        <v>20</v>
      </c>
      <c r="BC396" s="121"/>
      <c r="BD396" s="121" t="s">
        <v>569</v>
      </c>
      <c r="BE396" s="269">
        <f>BF396-2</f>
        <v>45849</v>
      </c>
      <c r="BF396" s="269">
        <v>45851</v>
      </c>
      <c r="BG396" s="15" t="s">
        <v>505</v>
      </c>
      <c r="BH396" s="15"/>
      <c r="BI396" s="127" t="s">
        <v>20</v>
      </c>
      <c r="BJ396" s="121"/>
      <c r="BK396" s="121"/>
      <c r="BL396" s="124"/>
      <c r="BM396" s="24" t="s">
        <v>707</v>
      </c>
    </row>
    <row r="397" spans="1:65" ht="14.25" customHeight="1">
      <c r="A397" s="15" t="s">
        <v>0</v>
      </c>
      <c r="B397" s="19"/>
      <c r="C397" s="169"/>
      <c r="D397" s="120"/>
      <c r="E397" s="120"/>
      <c r="F397" s="120"/>
      <c r="G397" s="120"/>
      <c r="H397" s="170"/>
      <c r="I397" s="19"/>
      <c r="J397" s="19"/>
      <c r="K397" s="171"/>
      <c r="L397" s="163"/>
      <c r="M397" s="15"/>
      <c r="N397" s="15"/>
      <c r="O397" s="15"/>
      <c r="P397" s="165"/>
      <c r="Q397" s="163"/>
      <c r="R397" s="15"/>
      <c r="S397" s="165"/>
      <c r="T397" s="166"/>
      <c r="U397" s="166"/>
      <c r="V397" s="15">
        <v>371.54</v>
      </c>
      <c r="W397" s="15" t="s">
        <v>499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73"/>
      <c r="AM397" s="15"/>
      <c r="AN397" s="121"/>
      <c r="AO397" s="121"/>
      <c r="AP397" s="121"/>
      <c r="AQ397" s="121"/>
      <c r="AR397" s="121"/>
      <c r="AS397" s="124"/>
      <c r="AT397" s="25"/>
      <c r="AU397" s="173"/>
      <c r="AV397" s="15"/>
      <c r="AW397" s="15"/>
      <c r="AX397" s="268"/>
      <c r="AY397" s="268"/>
      <c r="AZ397" s="172"/>
      <c r="BA397" s="173"/>
      <c r="BB397" s="15"/>
      <c r="BC397" s="121"/>
      <c r="BD397" s="121"/>
      <c r="BE397" s="121"/>
      <c r="BF397" s="121"/>
      <c r="BG397" s="15"/>
      <c r="BH397" s="15"/>
      <c r="BI397" s="15"/>
      <c r="BJ397" s="121"/>
      <c r="BK397" s="121"/>
      <c r="BL397" s="121"/>
      <c r="BM397" s="24"/>
    </row>
    <row r="398" spans="1:65" ht="14.25" customHeight="1">
      <c r="A398" s="15">
        <f t="shared" si="132"/>
        <v>195</v>
      </c>
      <c r="B398" s="19" t="s">
        <v>290</v>
      </c>
      <c r="C398" s="169" t="s">
        <v>39</v>
      </c>
      <c r="D398" s="120">
        <v>7.7080000000000002</v>
      </c>
      <c r="E398" s="120">
        <f>D398*4</f>
        <v>30.832000000000001</v>
      </c>
      <c r="F398" s="120">
        <f>E398*8</f>
        <v>246.65600000000001</v>
      </c>
      <c r="G398" s="120">
        <v>1</v>
      </c>
      <c r="H398" s="170">
        <v>5</v>
      </c>
      <c r="I398" s="19">
        <v>5</v>
      </c>
      <c r="J398" s="19">
        <v>5</v>
      </c>
      <c r="K398" s="171">
        <v>5</v>
      </c>
      <c r="L398" s="163">
        <v>4.0570000000000004</v>
      </c>
      <c r="M398" s="15">
        <v>2.48</v>
      </c>
      <c r="N398" s="15">
        <v>6.0000000000000001E-3</v>
      </c>
      <c r="O398" s="15">
        <v>0.36499999999999999</v>
      </c>
      <c r="P398" s="165">
        <f t="shared" si="174"/>
        <v>6.9080000000000013</v>
      </c>
      <c r="Q398" s="163">
        <v>0.96599999999999997</v>
      </c>
      <c r="R398" s="15">
        <v>0.02</v>
      </c>
      <c r="S398" s="165">
        <f t="shared" si="169"/>
        <v>0.98599999999999999</v>
      </c>
      <c r="T398" s="166"/>
      <c r="U398" s="188" t="s">
        <v>568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76">
        <f>154.18+133.13</f>
        <v>287.31</v>
      </c>
      <c r="AE398" s="176">
        <f>131.37+113.15+86.88</f>
        <v>331.4</v>
      </c>
      <c r="AF398" s="176"/>
      <c r="AG398" s="176">
        <f>229.43+688.25</f>
        <v>917.68000000000006</v>
      </c>
      <c r="AH398" s="176"/>
      <c r="AI398" s="176"/>
      <c r="AJ398" s="176">
        <f>SUM(AD398:AI398)</f>
        <v>1536.39</v>
      </c>
      <c r="AK398" s="15">
        <f>AJ398/1000</f>
        <v>1.5363900000000001</v>
      </c>
      <c r="AL398" s="173"/>
      <c r="AM398" s="127" t="s">
        <v>20</v>
      </c>
      <c r="AN398" s="121" t="s">
        <v>546</v>
      </c>
      <c r="AO398" s="121" t="s">
        <v>21</v>
      </c>
      <c r="AP398" s="338">
        <v>45677</v>
      </c>
      <c r="AQ398" s="338">
        <f>AP398+2</f>
        <v>45679</v>
      </c>
      <c r="AR398" s="338">
        <f>AS398-2</f>
        <v>45684</v>
      </c>
      <c r="AS398" s="507">
        <v>45686</v>
      </c>
      <c r="AT398" s="25" t="s">
        <v>588</v>
      </c>
      <c r="AU398" s="173"/>
      <c r="AV398" s="127" t="s">
        <v>20</v>
      </c>
      <c r="AW398" s="15" t="s">
        <v>6</v>
      </c>
      <c r="AX398" s="268">
        <v>45700</v>
      </c>
      <c r="AY398" s="268">
        <v>45700</v>
      </c>
      <c r="AZ398" s="172" t="s">
        <v>588</v>
      </c>
      <c r="BA398" s="173"/>
      <c r="BB398" s="127" t="s">
        <v>20</v>
      </c>
      <c r="BC398" s="121"/>
      <c r="BD398" s="121" t="s">
        <v>569</v>
      </c>
      <c r="BE398" s="269">
        <f>BF398-2</f>
        <v>45852</v>
      </c>
      <c r="BF398" s="269">
        <v>45854</v>
      </c>
      <c r="BG398" s="15" t="s">
        <v>505</v>
      </c>
      <c r="BH398" s="15"/>
      <c r="BI398" s="127" t="s">
        <v>20</v>
      </c>
      <c r="BJ398" s="121"/>
      <c r="BK398" s="121"/>
      <c r="BL398" s="25">
        <v>1001</v>
      </c>
      <c r="BM398" s="24" t="s">
        <v>707</v>
      </c>
    </row>
    <row r="399" spans="1:65" ht="14.25" customHeight="1">
      <c r="A399" s="15" t="s">
        <v>0</v>
      </c>
      <c r="B399" s="19"/>
      <c r="C399" s="169"/>
      <c r="D399" s="120"/>
      <c r="E399" s="120"/>
      <c r="F399" s="120"/>
      <c r="G399" s="120"/>
      <c r="H399" s="170"/>
      <c r="I399" s="19"/>
      <c r="J399" s="19"/>
      <c r="K399" s="171"/>
      <c r="L399" s="163"/>
      <c r="M399" s="15"/>
      <c r="N399" s="15"/>
      <c r="O399" s="15"/>
      <c r="P399" s="165"/>
      <c r="Q399" s="163"/>
      <c r="R399" s="15"/>
      <c r="S399" s="165"/>
      <c r="T399" s="166"/>
      <c r="U399" s="166"/>
      <c r="V399" s="661">
        <v>280</v>
      </c>
      <c r="W399" s="15" t="s">
        <v>536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73"/>
      <c r="AM399" s="15"/>
      <c r="AN399" s="121"/>
      <c r="AO399" s="121"/>
      <c r="AP399" s="121"/>
      <c r="AQ399" s="121"/>
      <c r="AR399" s="121"/>
      <c r="AS399" s="124"/>
      <c r="AT399" s="25"/>
      <c r="AU399" s="173"/>
      <c r="AV399" s="15"/>
      <c r="AW399" s="15"/>
      <c r="AX399" s="268"/>
      <c r="AY399" s="268"/>
      <c r="AZ399" s="172"/>
      <c r="BA399" s="173"/>
      <c r="BB399" s="15"/>
      <c r="BC399" s="121"/>
      <c r="BD399" s="121"/>
      <c r="BE399" s="121"/>
      <c r="BF399" s="121"/>
      <c r="BG399" s="15"/>
      <c r="BH399" s="167"/>
      <c r="BI399" s="15"/>
      <c r="BJ399" s="121"/>
      <c r="BK399" s="121"/>
      <c r="BL399" s="121"/>
      <c r="BM399" s="24"/>
    </row>
    <row r="400" spans="1:65" ht="14.25" customHeight="1">
      <c r="A400" s="15"/>
      <c r="B400" s="19" t="s">
        <v>291</v>
      </c>
      <c r="C400" s="169" t="s">
        <v>42</v>
      </c>
      <c r="D400" s="120">
        <v>6.3620000000000001</v>
      </c>
      <c r="E400" s="120">
        <f>D400*4</f>
        <v>25.448</v>
      </c>
      <c r="F400" s="120">
        <f>E400*8</f>
        <v>203.584</v>
      </c>
      <c r="G400" s="120">
        <v>1</v>
      </c>
      <c r="H400" s="170">
        <v>5</v>
      </c>
      <c r="I400" s="19">
        <v>5</v>
      </c>
      <c r="J400" s="19">
        <v>5</v>
      </c>
      <c r="K400" s="171">
        <v>5</v>
      </c>
      <c r="L400" s="163">
        <v>2.25</v>
      </c>
      <c r="M400" s="15">
        <v>2.1880000000000002</v>
      </c>
      <c r="N400" s="15">
        <v>2E-3</v>
      </c>
      <c r="O400" s="15">
        <v>0.183</v>
      </c>
      <c r="P400" s="165">
        <f t="shared" si="174"/>
        <v>4.6230000000000002</v>
      </c>
      <c r="Q400" s="163">
        <v>0.42799999999999999</v>
      </c>
      <c r="R400" s="15">
        <v>1.0999999999999999E-2</v>
      </c>
      <c r="S400" s="165">
        <f t="shared" si="169"/>
        <v>0.439</v>
      </c>
      <c r="T400" s="166"/>
      <c r="U400" s="188" t="s">
        <v>568</v>
      </c>
      <c r="V400" s="662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27" t="s">
        <v>20</v>
      </c>
      <c r="AN400" s="121" t="s">
        <v>21</v>
      </c>
      <c r="AO400" s="121" t="s">
        <v>21</v>
      </c>
      <c r="AP400" s="338">
        <v>45674</v>
      </c>
      <c r="AQ400" s="338">
        <v>45676</v>
      </c>
      <c r="AR400" s="338">
        <v>45678</v>
      </c>
      <c r="AS400" s="507">
        <v>45680</v>
      </c>
      <c r="AT400" s="25" t="s">
        <v>588</v>
      </c>
      <c r="AU400" s="173"/>
      <c r="AV400" s="127" t="s">
        <v>20</v>
      </c>
      <c r="AW400" s="15" t="s">
        <v>6</v>
      </c>
      <c r="AX400" s="268">
        <v>45700</v>
      </c>
      <c r="AY400" s="268">
        <v>45700</v>
      </c>
      <c r="AZ400" s="172" t="s">
        <v>588</v>
      </c>
      <c r="BA400" s="173"/>
      <c r="BB400" s="127" t="s">
        <v>20</v>
      </c>
      <c r="BC400" s="121"/>
      <c r="BD400" s="121" t="s">
        <v>21</v>
      </c>
      <c r="BE400" s="269">
        <f>BF400-1</f>
        <v>45806</v>
      </c>
      <c r="BF400" s="269">
        <v>45807</v>
      </c>
      <c r="BG400" s="15" t="s">
        <v>505</v>
      </c>
      <c r="BH400" s="167"/>
      <c r="BI400" s="15"/>
      <c r="BJ400" s="121"/>
      <c r="BK400" s="121"/>
      <c r="BL400" s="124"/>
      <c r="BM400" s="24"/>
    </row>
    <row r="401" spans="1:64" ht="14.25" customHeight="1">
      <c r="A401" s="15"/>
      <c r="B401" s="19"/>
      <c r="C401" s="169"/>
      <c r="D401" s="120"/>
      <c r="E401" s="120"/>
      <c r="F401" s="120"/>
      <c r="G401" s="120"/>
      <c r="H401" s="170"/>
      <c r="I401" s="19"/>
      <c r="J401" s="19"/>
      <c r="K401" s="171"/>
      <c r="L401" s="163"/>
      <c r="M401" s="15"/>
      <c r="N401" s="15"/>
      <c r="O401" s="15"/>
      <c r="P401" s="165"/>
      <c r="Q401" s="163"/>
      <c r="R401" s="15"/>
      <c r="S401" s="165"/>
      <c r="T401" s="166"/>
      <c r="U401" s="166"/>
      <c r="V401" s="662"/>
      <c r="W401" s="15" t="s">
        <v>536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67"/>
      <c r="AM401" s="15"/>
      <c r="AN401" s="121"/>
      <c r="AO401" s="121"/>
      <c r="AP401" s="121"/>
      <c r="AQ401" s="121"/>
      <c r="AR401" s="121"/>
      <c r="AS401" s="124"/>
      <c r="AT401" s="25"/>
      <c r="AU401" s="173"/>
      <c r="AV401" s="15"/>
      <c r="AW401" s="15"/>
      <c r="AX401" s="268"/>
      <c r="AY401" s="268"/>
      <c r="AZ401" s="172"/>
      <c r="BA401" s="173"/>
      <c r="BB401" s="15"/>
      <c r="BC401" s="121"/>
      <c r="BD401" s="121"/>
      <c r="BE401" s="121"/>
      <c r="BF401" s="121"/>
      <c r="BG401" s="15"/>
      <c r="BH401" s="167"/>
      <c r="BI401" s="15"/>
      <c r="BL401"/>
    </row>
    <row r="402" spans="1:64" ht="14.25" customHeight="1">
      <c r="A402" s="15"/>
      <c r="B402" s="19" t="s">
        <v>292</v>
      </c>
      <c r="C402" s="169" t="s">
        <v>42</v>
      </c>
      <c r="D402" s="120">
        <v>6.3620000000000001</v>
      </c>
      <c r="E402" s="120">
        <f>D402*4</f>
        <v>25.448</v>
      </c>
      <c r="F402" s="120">
        <f>E402*8</f>
        <v>203.584</v>
      </c>
      <c r="G402" s="120">
        <v>1</v>
      </c>
      <c r="H402" s="170">
        <v>2</v>
      </c>
      <c r="I402" s="19">
        <v>2</v>
      </c>
      <c r="J402" s="19">
        <v>2</v>
      </c>
      <c r="K402" s="171">
        <v>2</v>
      </c>
      <c r="L402" s="163">
        <v>2.25</v>
      </c>
      <c r="M402" s="15">
        <v>2.1880000000000002</v>
      </c>
      <c r="N402" s="15">
        <v>2E-3</v>
      </c>
      <c r="O402" s="15">
        <v>0.183</v>
      </c>
      <c r="P402" s="165">
        <f t="shared" si="174"/>
        <v>4.6230000000000002</v>
      </c>
      <c r="Q402" s="163">
        <v>0.24399999999999999</v>
      </c>
      <c r="R402" s="15">
        <v>5.0000000000000001E-3</v>
      </c>
      <c r="S402" s="165">
        <f t="shared" si="169"/>
        <v>0.249</v>
      </c>
      <c r="T402" s="166"/>
      <c r="U402" s="188" t="s">
        <v>568</v>
      </c>
      <c r="V402" s="663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67"/>
      <c r="AM402" s="127" t="s">
        <v>20</v>
      </c>
      <c r="AN402" s="121" t="str">
        <f>AO402</f>
        <v>D</v>
      </c>
      <c r="AO402" s="121" t="s">
        <v>21</v>
      </c>
      <c r="AP402" s="338">
        <f t="shared" ref="AP402" si="175">AQ402-2</f>
        <v>45698</v>
      </c>
      <c r="AQ402" s="338">
        <f t="shared" ref="AQ402" si="176">AR402-2</f>
        <v>45700</v>
      </c>
      <c r="AR402" s="338">
        <f>AS402-1</f>
        <v>45702</v>
      </c>
      <c r="AS402" s="507">
        <v>45703</v>
      </c>
      <c r="AT402" s="25" t="s">
        <v>588</v>
      </c>
      <c r="AU402" s="173"/>
      <c r="AV402" s="127" t="s">
        <v>20</v>
      </c>
      <c r="AW402" s="15" t="s">
        <v>6</v>
      </c>
      <c r="AX402" s="268">
        <f>AY402</f>
        <v>45719</v>
      </c>
      <c r="AY402" s="268">
        <v>45719</v>
      </c>
      <c r="AZ402" s="19" t="s">
        <v>589</v>
      </c>
      <c r="BA402" s="184"/>
      <c r="BB402" s="127" t="s">
        <v>20</v>
      </c>
      <c r="BC402" s="121"/>
      <c r="BD402" s="121" t="s">
        <v>21</v>
      </c>
      <c r="BE402" s="269">
        <f>BF402-2</f>
        <v>45801</v>
      </c>
      <c r="BF402" s="269">
        <v>45803</v>
      </c>
      <c r="BG402" s="17" t="s">
        <v>593</v>
      </c>
      <c r="BH402" s="167"/>
      <c r="BI402" s="15"/>
    </row>
    <row r="403" spans="1:64" ht="14.25" customHeight="1">
      <c r="A403" s="15" t="s">
        <v>0</v>
      </c>
      <c r="B403" s="19"/>
      <c r="C403" s="169"/>
      <c r="D403" s="120"/>
      <c r="E403" s="120"/>
      <c r="F403" s="120"/>
      <c r="G403" s="120"/>
      <c r="H403" s="170"/>
      <c r="I403" s="19"/>
      <c r="J403" s="19"/>
      <c r="K403" s="171"/>
      <c r="L403" s="163"/>
      <c r="M403" s="15"/>
      <c r="N403" s="15"/>
      <c r="O403" s="15"/>
      <c r="P403" s="165"/>
      <c r="Q403" s="163"/>
      <c r="R403" s="15"/>
      <c r="S403" s="165"/>
      <c r="T403" s="166"/>
      <c r="U403" s="166"/>
      <c r="V403" s="15"/>
      <c r="W403" s="15" t="s">
        <v>499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67"/>
      <c r="AM403" s="15"/>
      <c r="AN403" s="121"/>
      <c r="AO403" s="121"/>
      <c r="AP403" s="121"/>
      <c r="AQ403" s="121"/>
      <c r="AR403" s="121"/>
      <c r="AS403" s="124"/>
      <c r="AT403" s="25"/>
      <c r="AU403" s="173"/>
      <c r="AV403" s="15"/>
      <c r="AW403" s="15"/>
      <c r="AX403" s="268"/>
      <c r="AY403" s="268"/>
      <c r="AZ403" s="172"/>
      <c r="BA403" s="173"/>
      <c r="BB403" s="15"/>
      <c r="BC403" s="121"/>
      <c r="BD403" s="121"/>
      <c r="BE403" s="121"/>
      <c r="BF403" s="121"/>
      <c r="BG403" s="15"/>
      <c r="BH403" s="167"/>
      <c r="BI403" s="15"/>
      <c r="BL403"/>
    </row>
    <row r="404" spans="1:64" ht="14.1" customHeight="1">
      <c r="A404" s="15">
        <f>A398+1</f>
        <v>196</v>
      </c>
      <c r="B404" s="19" t="s">
        <v>720</v>
      </c>
      <c r="C404" s="169" t="s">
        <v>81</v>
      </c>
      <c r="D404" s="120">
        <v>9.6539999999999999</v>
      </c>
      <c r="E404" s="120">
        <f>D404*4</f>
        <v>38.616</v>
      </c>
      <c r="F404" s="120">
        <f>E404*8</f>
        <v>308.928</v>
      </c>
      <c r="G404" s="120"/>
      <c r="H404" s="170"/>
      <c r="I404" s="19"/>
      <c r="J404" s="19"/>
      <c r="K404" s="171"/>
      <c r="L404" s="16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65">
        <f t="shared" si="174"/>
        <v>8.1417000000000002</v>
      </c>
      <c r="Q404" s="163">
        <v>0.48099999999999998</v>
      </c>
      <c r="R404" s="15">
        <v>1.2E-2</v>
      </c>
      <c r="S404" s="165">
        <f t="shared" si="169"/>
        <v>0.49299999999999999</v>
      </c>
      <c r="T404" s="166"/>
      <c r="U404" s="188" t="s">
        <v>568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76">
        <v>73.73</v>
      </c>
      <c r="AE404" s="176">
        <v>301.5</v>
      </c>
      <c r="AF404" s="176"/>
      <c r="AG404" s="176">
        <v>206.46</v>
      </c>
      <c r="AH404" s="176"/>
      <c r="AI404" s="176"/>
      <c r="AJ404" s="176">
        <v>581.69000000000005</v>
      </c>
      <c r="AK404" s="15">
        <v>0.58169000000000004</v>
      </c>
      <c r="AL404" s="167"/>
      <c r="AM404" s="127" t="s">
        <v>20</v>
      </c>
      <c r="AN404" s="121"/>
      <c r="AO404" s="121"/>
      <c r="AP404" s="338"/>
      <c r="AQ404" s="338"/>
      <c r="AR404" s="338"/>
      <c r="AS404" s="269">
        <v>46121</v>
      </c>
      <c r="AT404" s="17" t="s">
        <v>740</v>
      </c>
      <c r="AU404" s="173"/>
      <c r="AV404" s="127" t="s">
        <v>20</v>
      </c>
      <c r="AW404" s="15" t="s">
        <v>6</v>
      </c>
      <c r="AX404" s="268"/>
      <c r="AY404" s="268"/>
      <c r="AZ404" s="19" t="s">
        <v>700</v>
      </c>
      <c r="BA404" s="184"/>
      <c r="BB404" s="127" t="s">
        <v>20</v>
      </c>
      <c r="BC404" s="121"/>
      <c r="BD404" s="121"/>
      <c r="BE404" s="269">
        <v>46150</v>
      </c>
      <c r="BF404" s="269">
        <v>46154</v>
      </c>
      <c r="BG404" s="346" t="s">
        <v>761</v>
      </c>
      <c r="BH404" s="167"/>
      <c r="BI404" s="127" t="s">
        <v>20</v>
      </c>
    </row>
    <row r="405" spans="1:64" ht="14.25" customHeight="1">
      <c r="A405" s="15" t="s">
        <v>0</v>
      </c>
      <c r="B405" s="19"/>
      <c r="C405" s="169"/>
      <c r="D405" s="120"/>
      <c r="E405" s="120"/>
      <c r="F405" s="120"/>
      <c r="G405" s="120"/>
      <c r="H405" s="170"/>
      <c r="I405" s="19"/>
      <c r="J405" s="19"/>
      <c r="K405" s="171"/>
      <c r="L405" s="163"/>
      <c r="M405" s="15"/>
      <c r="N405" s="15"/>
      <c r="O405" s="15"/>
      <c r="P405" s="165"/>
      <c r="Q405" s="163"/>
      <c r="R405" s="15"/>
      <c r="S405" s="165"/>
      <c r="T405" s="166"/>
      <c r="U405" s="166"/>
      <c r="V405" s="15">
        <v>373.16</v>
      </c>
      <c r="W405" s="15" t="s">
        <v>499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67"/>
      <c r="AM405" s="15"/>
      <c r="AN405" s="121"/>
      <c r="AO405" s="121"/>
      <c r="AP405" s="121"/>
      <c r="AQ405" s="121"/>
      <c r="AR405" s="121"/>
      <c r="AS405" s="124"/>
      <c r="AT405" s="25"/>
      <c r="AU405" s="173"/>
      <c r="AV405" s="15"/>
      <c r="AW405" s="15"/>
      <c r="AX405" s="268"/>
      <c r="AY405" s="268"/>
      <c r="AZ405" s="172"/>
      <c r="BA405" s="173"/>
      <c r="BB405" s="15"/>
      <c r="BC405" s="121"/>
      <c r="BD405" s="121"/>
      <c r="BE405" s="121"/>
      <c r="BF405" s="121"/>
      <c r="BG405" s="15"/>
      <c r="BH405" s="167"/>
      <c r="BI405" s="15"/>
      <c r="BL405"/>
    </row>
    <row r="406" spans="1:64" ht="14.25" customHeight="1">
      <c r="A406" s="15">
        <f t="shared" si="132"/>
        <v>197</v>
      </c>
      <c r="B406" s="19" t="s">
        <v>721</v>
      </c>
      <c r="C406" s="169" t="s">
        <v>260</v>
      </c>
      <c r="D406" s="120">
        <v>16.654</v>
      </c>
      <c r="E406" s="120">
        <f>D406*4</f>
        <v>66.616</v>
      </c>
      <c r="F406" s="120">
        <f>E406*8</f>
        <v>532.928</v>
      </c>
      <c r="G406" s="120"/>
      <c r="H406" s="170"/>
      <c r="I406" s="19"/>
      <c r="J406" s="19"/>
      <c r="K406" s="171"/>
      <c r="L406" s="163">
        <v>8.8970000000000002</v>
      </c>
      <c r="M406" s="15">
        <v>8.8010000000000002</v>
      </c>
      <c r="N406" s="15">
        <v>9.2999999999999992E-3</v>
      </c>
      <c r="O406" s="15">
        <v>0.752</v>
      </c>
      <c r="P406" s="165">
        <f t="shared" si="174"/>
        <v>18.459299999999999</v>
      </c>
      <c r="Q406" s="163">
        <v>1.1160000000000001</v>
      </c>
      <c r="R406" s="15">
        <v>3.2000000000000001E-2</v>
      </c>
      <c r="S406" s="165">
        <f t="shared" si="169"/>
        <v>1.1480000000000001</v>
      </c>
      <c r="T406" s="166"/>
      <c r="U406" s="188" t="s">
        <v>568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67"/>
      <c r="AM406" s="127" t="s">
        <v>20</v>
      </c>
      <c r="AN406" s="121"/>
      <c r="AO406" s="121"/>
      <c r="AP406" s="338"/>
      <c r="AQ406" s="338"/>
      <c r="AR406" s="338"/>
      <c r="AS406" s="507">
        <v>46132</v>
      </c>
      <c r="AT406" s="17" t="s">
        <v>740</v>
      </c>
      <c r="AU406" s="184"/>
      <c r="AV406" s="127" t="s">
        <v>20</v>
      </c>
      <c r="AW406" s="15" t="s">
        <v>6</v>
      </c>
      <c r="AX406" s="268"/>
      <c r="AY406" s="268"/>
      <c r="AZ406" s="19" t="s">
        <v>700</v>
      </c>
      <c r="BA406" s="173"/>
      <c r="BB406" s="127" t="s">
        <v>20</v>
      </c>
      <c r="BC406" s="121"/>
      <c r="BD406" s="121"/>
      <c r="BE406" s="269">
        <v>46152</v>
      </c>
      <c r="BF406" s="269">
        <v>46157</v>
      </c>
      <c r="BG406" s="15" t="s">
        <v>760</v>
      </c>
      <c r="BH406" s="167"/>
      <c r="BI406" s="127" t="s">
        <v>20</v>
      </c>
    </row>
    <row r="407" spans="1:64" ht="12.95" customHeight="1">
      <c r="A407" s="15" t="s">
        <v>0</v>
      </c>
      <c r="B407" s="19"/>
      <c r="C407" s="169"/>
      <c r="D407" s="120">
        <v>16.654</v>
      </c>
      <c r="E407" s="120"/>
      <c r="F407" s="120"/>
      <c r="G407" s="120"/>
      <c r="H407" s="170"/>
      <c r="I407" s="19"/>
      <c r="J407" s="19"/>
      <c r="K407" s="171"/>
      <c r="L407" s="163"/>
      <c r="M407" s="15"/>
      <c r="N407" s="15"/>
      <c r="O407" s="15"/>
      <c r="P407" s="165"/>
      <c r="Q407" s="163"/>
      <c r="R407" s="15"/>
      <c r="S407" s="165"/>
      <c r="T407" s="166"/>
      <c r="U407" s="166"/>
      <c r="V407" s="15">
        <v>159.04</v>
      </c>
      <c r="W407" s="15" t="s">
        <v>499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67"/>
    </row>
    <row r="408" spans="1:64" ht="13.5" customHeight="1">
      <c r="A408" s="15">
        <f t="shared" si="132"/>
        <v>198</v>
      </c>
      <c r="B408" s="19" t="s">
        <v>722</v>
      </c>
      <c r="C408" s="401" t="s">
        <v>260</v>
      </c>
      <c r="D408" s="120">
        <v>16.654</v>
      </c>
      <c r="E408" s="120">
        <f>D408*4</f>
        <v>66.616</v>
      </c>
      <c r="F408" s="120">
        <f>E408*8</f>
        <v>532.928</v>
      </c>
      <c r="G408" s="402"/>
      <c r="H408" s="403"/>
      <c r="I408" s="404"/>
      <c r="J408" s="404"/>
      <c r="K408" s="405"/>
      <c r="L408" s="406">
        <v>8.8970000000000002</v>
      </c>
      <c r="M408" s="407">
        <v>8.8010000000000002</v>
      </c>
      <c r="N408" s="407">
        <v>9.2999999999999992E-3</v>
      </c>
      <c r="O408" s="407">
        <v>0.752</v>
      </c>
      <c r="P408" s="408">
        <f t="shared" si="174"/>
        <v>18.459299999999999</v>
      </c>
      <c r="Q408" s="406">
        <v>1.1160000000000001</v>
      </c>
      <c r="R408" s="407">
        <v>3.2000000000000001E-2</v>
      </c>
      <c r="S408" s="408">
        <f t="shared" si="169"/>
        <v>1.1480000000000001</v>
      </c>
      <c r="T408" s="194"/>
      <c r="U408" s="194" t="s">
        <v>568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67"/>
      <c r="AM408" s="127" t="s">
        <v>20</v>
      </c>
      <c r="AN408" s="121"/>
      <c r="AO408" s="15"/>
      <c r="AP408" s="121"/>
      <c r="AQ408" s="121"/>
      <c r="AR408" s="121"/>
      <c r="AS408" s="507">
        <v>46142</v>
      </c>
      <c r="AT408" s="17" t="s">
        <v>740</v>
      </c>
      <c r="AU408" s="173"/>
      <c r="AV408" s="127" t="s">
        <v>20</v>
      </c>
      <c r="AW408" s="15" t="s">
        <v>6</v>
      </c>
      <c r="AX408" s="268"/>
      <c r="AY408" s="268"/>
      <c r="AZ408" s="172"/>
      <c r="BA408" s="173"/>
      <c r="BB408" s="127" t="s">
        <v>20</v>
      </c>
      <c r="BC408" s="121"/>
      <c r="BD408" s="15"/>
      <c r="BE408" s="269">
        <v>46158</v>
      </c>
      <c r="BF408" s="269">
        <v>46163</v>
      </c>
      <c r="BG408" s="15" t="s">
        <v>760</v>
      </c>
      <c r="BH408" s="167"/>
      <c r="BI408" s="127" t="s">
        <v>20</v>
      </c>
      <c r="BL408"/>
    </row>
    <row r="409" spans="1:64" ht="19.5" customHeight="1">
      <c r="A409" s="15" t="s">
        <v>0</v>
      </c>
      <c r="B409" s="19"/>
      <c r="C409" s="401"/>
      <c r="D409" s="120">
        <v>16.654</v>
      </c>
      <c r="E409" s="120"/>
      <c r="F409" s="120"/>
      <c r="G409" s="402"/>
      <c r="H409" s="403"/>
      <c r="I409" s="404"/>
      <c r="J409" s="404"/>
      <c r="K409" s="405"/>
      <c r="L409" s="406"/>
      <c r="M409" s="407"/>
      <c r="N409" s="407"/>
      <c r="O409" s="407"/>
      <c r="P409" s="408"/>
      <c r="Q409" s="406"/>
      <c r="R409" s="407"/>
      <c r="S409" s="408"/>
      <c r="T409" s="194"/>
      <c r="U409" s="194"/>
      <c r="V409" s="15">
        <v>236.01</v>
      </c>
      <c r="W409" s="15" t="s">
        <v>499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67"/>
      <c r="AM409" s="15"/>
      <c r="AN409" s="121"/>
      <c r="AO409" s="15"/>
      <c r="AP409" s="121"/>
      <c r="AQ409" s="121"/>
      <c r="AR409" s="121"/>
      <c r="AS409" s="124"/>
      <c r="AT409" s="25"/>
      <c r="AU409" s="173"/>
      <c r="AV409" s="15"/>
      <c r="AW409" s="15"/>
      <c r="AX409" s="268"/>
      <c r="AY409" s="268"/>
      <c r="AZ409" s="172"/>
      <c r="BA409" s="173"/>
      <c r="BB409" s="15"/>
      <c r="BC409" s="121"/>
      <c r="BD409" s="15"/>
      <c r="BE409" s="121"/>
      <c r="BF409" s="121"/>
      <c r="BG409" s="15"/>
      <c r="BH409" s="167"/>
      <c r="BI409" s="15"/>
      <c r="BL409"/>
    </row>
    <row r="410" spans="1:64" ht="19.5" customHeight="1">
      <c r="A410" s="15">
        <f t="shared" si="132"/>
        <v>199</v>
      </c>
      <c r="B410" s="19" t="s">
        <v>723</v>
      </c>
      <c r="C410" s="401" t="s">
        <v>260</v>
      </c>
      <c r="D410" s="120">
        <v>16.654</v>
      </c>
      <c r="E410" s="120">
        <f>D410*4</f>
        <v>66.616</v>
      </c>
      <c r="F410" s="120">
        <f>E410*8</f>
        <v>532.928</v>
      </c>
      <c r="G410" s="402"/>
      <c r="H410" s="403"/>
      <c r="I410" s="404"/>
      <c r="J410" s="404"/>
      <c r="K410" s="405"/>
      <c r="L410" s="406">
        <v>8.8970000000000002</v>
      </c>
      <c r="M410" s="407">
        <v>8.8010000000000002</v>
      </c>
      <c r="N410" s="407">
        <v>9.2999999999999992E-3</v>
      </c>
      <c r="O410" s="407">
        <v>0.752</v>
      </c>
      <c r="P410" s="408">
        <f t="shared" si="174"/>
        <v>18.459299999999999</v>
      </c>
      <c r="Q410" s="406">
        <v>1.1160000000000001</v>
      </c>
      <c r="R410" s="407">
        <v>3.2000000000000001E-2</v>
      </c>
      <c r="S410" s="408">
        <f t="shared" si="169"/>
        <v>1.1480000000000001</v>
      </c>
      <c r="T410" s="194"/>
      <c r="U410" s="194" t="s">
        <v>568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67"/>
      <c r="AM410" s="127" t="s">
        <v>20</v>
      </c>
      <c r="AN410" s="121"/>
      <c r="AO410" s="15"/>
      <c r="AP410" s="507">
        <v>46142</v>
      </c>
      <c r="AQ410" s="121"/>
      <c r="AR410" s="121"/>
      <c r="AS410" s="124"/>
      <c r="AT410" s="17" t="s">
        <v>740</v>
      </c>
      <c r="AU410" s="173"/>
      <c r="AV410" s="127" t="s">
        <v>20</v>
      </c>
      <c r="AW410" s="15" t="s">
        <v>6</v>
      </c>
      <c r="AX410" s="268"/>
      <c r="AY410" s="268"/>
      <c r="AZ410" s="172"/>
      <c r="BA410" s="173"/>
      <c r="BB410" s="127" t="s">
        <v>20</v>
      </c>
      <c r="BC410" s="121"/>
      <c r="BD410" s="15"/>
      <c r="BE410" s="121"/>
      <c r="BF410" s="121"/>
      <c r="BG410" s="15"/>
      <c r="BH410" s="167"/>
      <c r="BI410" s="127" t="s">
        <v>20</v>
      </c>
      <c r="BL410"/>
    </row>
    <row r="411" spans="1:64" ht="14.25" customHeight="1">
      <c r="V411" s="13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33"/>
      <c r="AM411" s="15">
        <f>+COUNTIF($AM$8:$AM$410,"C")-2</f>
        <v>199</v>
      </c>
      <c r="AN411" s="121"/>
      <c r="AO411" s="15">
        <f>+COUNTIF($AO$8:$AO$406,"D")</f>
        <v>171</v>
      </c>
      <c r="AP411" s="121"/>
      <c r="AQ411" s="121"/>
      <c r="AR411" s="121"/>
      <c r="AS411" s="124"/>
      <c r="AT411" s="25"/>
      <c r="AU411" s="173"/>
      <c r="AV411" s="15">
        <f>+COUNTIF($AV$8:$AV$410,"C")-2</f>
        <v>199</v>
      </c>
      <c r="AW411" s="15"/>
      <c r="AX411" s="268"/>
      <c r="AY411" s="268"/>
      <c r="AZ411" s="172"/>
      <c r="BA411" s="173"/>
      <c r="BB411" s="15">
        <f>+COUNTIF($BB$8:$BB$410,"C")-2</f>
        <v>199</v>
      </c>
      <c r="BC411" s="121"/>
      <c r="BD411" s="15">
        <f>+COUNTIF($BD$8:$BD$406,"D")</f>
        <v>139</v>
      </c>
      <c r="BE411" s="121"/>
      <c r="BF411" s="121"/>
      <c r="BG411" s="15"/>
      <c r="BH411" s="167"/>
      <c r="BI411" s="15">
        <f>+COUNTIF($BI$8:$BI$410,"C")</f>
        <v>199</v>
      </c>
      <c r="BL411"/>
    </row>
    <row r="412" spans="1:64" ht="14.25" customHeight="1">
      <c r="F412" s="13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33"/>
      <c r="AM412" s="43"/>
      <c r="AU412" s="134"/>
      <c r="BA412" s="134"/>
      <c r="BE412"/>
      <c r="BF412" s="130"/>
      <c r="BH412" s="134"/>
      <c r="BI412" s="15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33"/>
      <c r="AM413" s="43"/>
      <c r="AU413" s="134"/>
      <c r="BA413" s="134"/>
      <c r="BE413"/>
      <c r="BF413" s="130">
        <v>16</v>
      </c>
      <c r="BH413" s="134"/>
      <c r="BI413" s="15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O80" activePane="bottomRight" state="frozen"/>
      <selection pane="topRight" activeCell="E1" sqref="E1"/>
      <selection pane="bottomLeft" activeCell="A6" sqref="A6"/>
      <selection pane="bottomRight" activeCell="V91" sqref="V91"/>
    </sheetView>
  </sheetViews>
  <sheetFormatPr defaultColWidth="14.42578125" defaultRowHeight="15" customHeight="1"/>
  <cols>
    <col min="1" max="1" width="8.7109375" customWidth="1"/>
    <col min="2" max="2" width="11.140625" customWidth="1"/>
    <col min="3" max="3" width="10.140625" customWidth="1"/>
    <col min="4" max="4" width="12.42578125" customWidth="1"/>
    <col min="5" max="5" width="11.140625" customWidth="1"/>
    <col min="6" max="6" width="9.42578125" customWidth="1"/>
    <col min="7" max="7" width="8.7109375" customWidth="1"/>
    <col min="8" max="8" width="14" style="376" customWidth="1"/>
    <col min="9" max="9" width="12.7109375" customWidth="1"/>
    <col min="10" max="10" width="12.140625" customWidth="1"/>
    <col min="11" max="12" width="11.28515625" customWidth="1"/>
    <col min="13" max="13" width="12.140625" customWidth="1"/>
    <col min="14" max="14" width="11.28515625" customWidth="1"/>
    <col min="15" max="15" width="21.42578125" customWidth="1"/>
    <col min="16" max="16" width="5.140625" customWidth="1"/>
    <col min="17" max="17" width="19.28515625" customWidth="1"/>
    <col min="18" max="18" width="3" customWidth="1"/>
    <col min="19" max="19" width="8.7109375" customWidth="1"/>
    <col min="20" max="21" width="11.28515625" customWidth="1"/>
    <col min="22" max="22" width="8.7109375" customWidth="1"/>
    <col min="23" max="24" width="11.28515625" customWidth="1"/>
    <col min="25" max="25" width="22" customWidth="1"/>
  </cols>
  <sheetData>
    <row r="1" spans="1:25" ht="14.25" customHeight="1">
      <c r="A1" s="669" t="str">
        <f>+Summary!A2</f>
        <v>Name of the Line: 220KV DC AL59 line from Neemuch - Chanderiya + 132KV DC ACSS Line from Chanderiya to Hindustan Zinc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1"/>
      <c r="T1" s="591"/>
      <c r="U1" s="591"/>
      <c r="V1" s="591"/>
      <c r="W1" s="591"/>
      <c r="X1" s="591"/>
      <c r="Y1" s="592"/>
    </row>
    <row r="2" spans="1:25" ht="14.25" customHeight="1">
      <c r="A2" s="669" t="str">
        <f>+Summary!A5</f>
        <v>Progress of 220kV Line</v>
      </c>
      <c r="B2" s="591"/>
      <c r="C2" s="591"/>
      <c r="D2" s="592"/>
      <c r="E2" s="109"/>
      <c r="F2" s="669" t="s">
        <v>601</v>
      </c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2"/>
      <c r="R2" s="195"/>
      <c r="S2" s="669" t="s">
        <v>602</v>
      </c>
      <c r="T2" s="591"/>
      <c r="U2" s="591"/>
      <c r="V2" s="591"/>
      <c r="W2" s="591"/>
      <c r="X2" s="591"/>
      <c r="Y2" s="592"/>
    </row>
    <row r="3" spans="1:25" ht="14.25" customHeight="1">
      <c r="A3" s="669" t="s">
        <v>603</v>
      </c>
      <c r="B3" s="591"/>
      <c r="C3" s="592"/>
      <c r="D3" s="196">
        <f>Summary!R5</f>
        <v>46230</v>
      </c>
      <c r="E3" s="197">
        <f>SUMIF(E6:E213,"C",$D$6:$D$213)/1000</f>
        <v>64.025100999999992</v>
      </c>
      <c r="F3" s="198"/>
      <c r="G3" s="198"/>
      <c r="H3" s="199">
        <f>SUMIF(G7:G213,"WIP",$D$7:$D$213)/1000</f>
        <v>0</v>
      </c>
      <c r="I3" s="480">
        <f>SUMIF(G6:G213,"C",$D$6:$D$213)/1000</f>
        <v>64.025100999999992</v>
      </c>
      <c r="J3" s="481"/>
      <c r="K3" s="52">
        <f>SUMIF(J7:J213,"WIP",$D$7:$D$213)/1000</f>
        <v>0</v>
      </c>
      <c r="L3" s="480">
        <f>SUMIF(J6:J213,"C",$D$6:$D$213)/1000</f>
        <v>64.025100999999992</v>
      </c>
      <c r="M3" s="198"/>
      <c r="N3" s="198"/>
      <c r="O3" s="198"/>
      <c r="P3" s="198"/>
      <c r="Q3" s="198"/>
      <c r="R3" s="200"/>
      <c r="S3" s="198"/>
      <c r="T3" s="199">
        <f>SUMIF(S7:S213,"WIP",$D$7:$D$213)/1000</f>
        <v>0</v>
      </c>
      <c r="U3" s="199">
        <f>SUMIF(S7:S213,"C",$D$7:$D$213)/1000</f>
        <v>64.058100999999994</v>
      </c>
      <c r="V3" s="199"/>
      <c r="W3" s="199">
        <f>SUMIF(V7:V213,"WIP",$D$7:$D$213)/1000</f>
        <v>0</v>
      </c>
      <c r="X3" s="199">
        <f>SUMIF(V7:V213,"C",$D$7:$D$213)/1000</f>
        <v>64.058100999999994</v>
      </c>
      <c r="Y3" s="198"/>
    </row>
    <row r="4" spans="1:25" ht="14.25" customHeight="1">
      <c r="A4" s="201" t="s">
        <v>2</v>
      </c>
      <c r="B4" s="670" t="s">
        <v>459</v>
      </c>
      <c r="C4" s="592"/>
      <c r="D4" s="201" t="s">
        <v>604</v>
      </c>
      <c r="E4" s="202" t="s">
        <v>605</v>
      </c>
      <c r="F4" s="55" t="s">
        <v>606</v>
      </c>
      <c r="G4" s="593" t="s">
        <v>607</v>
      </c>
      <c r="H4" s="591"/>
      <c r="I4" s="592"/>
      <c r="J4" s="593" t="s">
        <v>388</v>
      </c>
      <c r="K4" s="591"/>
      <c r="L4" s="592"/>
      <c r="M4" s="203" t="s">
        <v>608</v>
      </c>
      <c r="N4" s="204" t="s">
        <v>610</v>
      </c>
      <c r="O4" s="2" t="s">
        <v>488</v>
      </c>
      <c r="P4" s="205" t="s">
        <v>568</v>
      </c>
      <c r="Q4" s="55" t="s">
        <v>15</v>
      </c>
      <c r="R4" s="206"/>
      <c r="S4" s="590" t="s">
        <v>611</v>
      </c>
      <c r="T4" s="591"/>
      <c r="U4" s="592"/>
      <c r="V4" s="590" t="s">
        <v>612</v>
      </c>
      <c r="W4" s="591"/>
      <c r="X4" s="592"/>
      <c r="Y4" s="2" t="s">
        <v>488</v>
      </c>
    </row>
    <row r="5" spans="1:25" ht="14.25" customHeight="1">
      <c r="A5" s="201"/>
      <c r="B5" s="207" t="s">
        <v>613</v>
      </c>
      <c r="C5" s="207" t="s">
        <v>614</v>
      </c>
      <c r="D5" s="201"/>
      <c r="E5" s="208"/>
      <c r="F5" s="118"/>
      <c r="G5" s="204" t="s">
        <v>615</v>
      </c>
      <c r="H5" s="5" t="s">
        <v>491</v>
      </c>
      <c r="I5" s="204" t="s">
        <v>23</v>
      </c>
      <c r="J5" s="204" t="s">
        <v>615</v>
      </c>
      <c r="K5" s="204" t="s">
        <v>491</v>
      </c>
      <c r="L5" s="204" t="s">
        <v>23</v>
      </c>
      <c r="M5" s="204" t="s">
        <v>615</v>
      </c>
      <c r="N5" s="204" t="s">
        <v>615</v>
      </c>
      <c r="O5" s="2"/>
      <c r="P5" s="209"/>
      <c r="Q5" s="118"/>
      <c r="R5" s="210"/>
      <c r="S5" s="204" t="s">
        <v>615</v>
      </c>
      <c r="T5" s="204" t="s">
        <v>491</v>
      </c>
      <c r="U5" s="204" t="s">
        <v>23</v>
      </c>
      <c r="V5" s="204" t="s">
        <v>615</v>
      </c>
      <c r="W5" s="204" t="s">
        <v>491</v>
      </c>
      <c r="X5" s="204" t="s">
        <v>23</v>
      </c>
      <c r="Y5" s="2"/>
    </row>
    <row r="6" spans="1:25" ht="14.25" customHeight="1">
      <c r="A6" s="15">
        <v>1</v>
      </c>
      <c r="B6" s="122" t="s">
        <v>716</v>
      </c>
      <c r="C6" s="15" t="s">
        <v>33</v>
      </c>
      <c r="D6" s="16">
        <v>47</v>
      </c>
      <c r="E6" s="16" t="s">
        <v>20</v>
      </c>
      <c r="F6" s="16" t="s">
        <v>20</v>
      </c>
      <c r="G6" s="16" t="s">
        <v>20</v>
      </c>
      <c r="H6" s="398">
        <v>46053</v>
      </c>
      <c r="I6" s="268">
        <v>46055</v>
      </c>
      <c r="J6" s="16" t="s">
        <v>20</v>
      </c>
      <c r="K6" s="398">
        <v>46053</v>
      </c>
      <c r="L6" s="268">
        <v>46055</v>
      </c>
      <c r="M6" s="16"/>
      <c r="N6" s="16"/>
      <c r="O6" s="24" t="s">
        <v>717</v>
      </c>
      <c r="P6" s="25"/>
      <c r="Q6" s="24"/>
      <c r="R6" s="211"/>
      <c r="S6" s="15" t="s">
        <v>20</v>
      </c>
      <c r="T6" s="268">
        <v>46147</v>
      </c>
      <c r="U6" s="268">
        <v>46149</v>
      </c>
      <c r="V6" s="15" t="s">
        <v>20</v>
      </c>
      <c r="W6" s="268">
        <v>46150</v>
      </c>
      <c r="X6" s="268">
        <v>46150</v>
      </c>
      <c r="Y6" s="24"/>
    </row>
    <row r="7" spans="1:25" ht="14.25" customHeight="1">
      <c r="A7" s="15">
        <f>A6+1</f>
        <v>2</v>
      </c>
      <c r="B7" s="122" t="s">
        <v>33</v>
      </c>
      <c r="C7" s="15" t="s">
        <v>38</v>
      </c>
      <c r="D7" s="16">
        <v>392.7</v>
      </c>
      <c r="E7" s="16" t="s">
        <v>20</v>
      </c>
      <c r="F7" s="16" t="s">
        <v>20</v>
      </c>
      <c r="G7" s="16" t="s">
        <v>20</v>
      </c>
      <c r="H7" s="398">
        <v>45796</v>
      </c>
      <c r="I7" s="268">
        <v>45801</v>
      </c>
      <c r="J7" s="16" t="s">
        <v>20</v>
      </c>
      <c r="K7" s="269">
        <v>45803</v>
      </c>
      <c r="L7" s="268">
        <f t="shared" ref="L7:L8" si="0">K7+2</f>
        <v>45805</v>
      </c>
      <c r="M7" s="16" t="s">
        <v>20</v>
      </c>
      <c r="N7" s="16" t="s">
        <v>20</v>
      </c>
      <c r="O7" s="24" t="s">
        <v>739</v>
      </c>
      <c r="P7" s="25"/>
      <c r="Q7" s="24"/>
      <c r="R7" s="211"/>
      <c r="S7" s="15" t="s">
        <v>20</v>
      </c>
      <c r="T7" s="268">
        <v>46147</v>
      </c>
      <c r="U7" s="268">
        <v>46149</v>
      </c>
      <c r="V7" s="15" t="s">
        <v>20</v>
      </c>
      <c r="W7" s="268">
        <v>46150</v>
      </c>
      <c r="X7" s="268">
        <v>46150</v>
      </c>
      <c r="Y7" s="24"/>
    </row>
    <row r="8" spans="1:25" ht="14.25" customHeight="1">
      <c r="A8" s="15">
        <f t="shared" ref="A8:A71" si="1">A7+1</f>
        <v>3</v>
      </c>
      <c r="B8" s="15" t="str">
        <f t="shared" ref="B8:B87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398">
        <v>45796</v>
      </c>
      <c r="I8" s="268">
        <v>45801</v>
      </c>
      <c r="J8" s="16" t="s">
        <v>20</v>
      </c>
      <c r="K8" s="269">
        <v>45803</v>
      </c>
      <c r="L8" s="268">
        <f t="shared" si="0"/>
        <v>45805</v>
      </c>
      <c r="M8" s="16" t="s">
        <v>20</v>
      </c>
      <c r="N8" s="16" t="s">
        <v>20</v>
      </c>
      <c r="O8" s="24" t="s">
        <v>739</v>
      </c>
      <c r="P8" s="25"/>
      <c r="Q8" s="24"/>
      <c r="R8" s="211"/>
      <c r="S8" s="15" t="s">
        <v>20</v>
      </c>
      <c r="T8" s="268">
        <v>46147</v>
      </c>
      <c r="U8" s="268">
        <v>46149</v>
      </c>
      <c r="V8" s="15" t="s">
        <v>20</v>
      </c>
      <c r="W8" s="268">
        <v>46150</v>
      </c>
      <c r="X8" s="268">
        <v>46150</v>
      </c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398">
        <f t="shared" ref="H9:H10" si="3">I9</f>
        <v>45837</v>
      </c>
      <c r="I9" s="268">
        <v>45837</v>
      </c>
      <c r="J9" s="16" t="s">
        <v>20</v>
      </c>
      <c r="K9" s="268">
        <v>45838</v>
      </c>
      <c r="L9" s="268">
        <f t="shared" ref="L9:L10" si="4">K9</f>
        <v>45838</v>
      </c>
      <c r="M9" s="16" t="s">
        <v>20</v>
      </c>
      <c r="N9" s="16" t="s">
        <v>20</v>
      </c>
      <c r="O9" s="24" t="s">
        <v>739</v>
      </c>
      <c r="P9" s="25"/>
      <c r="Q9" s="24"/>
      <c r="R9" s="211"/>
      <c r="S9" s="15" t="s">
        <v>20</v>
      </c>
      <c r="T9" s="268">
        <v>46147</v>
      </c>
      <c r="U9" s="268">
        <v>46149</v>
      </c>
      <c r="V9" s="15" t="s">
        <v>20</v>
      </c>
      <c r="W9" s="268">
        <v>46150</v>
      </c>
      <c r="X9" s="268">
        <v>46150</v>
      </c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398">
        <f t="shared" si="3"/>
        <v>45837</v>
      </c>
      <c r="I10" s="268">
        <v>45837</v>
      </c>
      <c r="J10" s="16" t="s">
        <v>20</v>
      </c>
      <c r="K10" s="268">
        <v>45837</v>
      </c>
      <c r="L10" s="268">
        <f t="shared" si="4"/>
        <v>45837</v>
      </c>
      <c r="M10" s="16" t="s">
        <v>20</v>
      </c>
      <c r="N10" s="16" t="s">
        <v>20</v>
      </c>
      <c r="O10" s="24" t="s">
        <v>739</v>
      </c>
      <c r="P10" s="25"/>
      <c r="Q10" s="24"/>
      <c r="R10" s="211"/>
      <c r="S10" s="15" t="s">
        <v>20</v>
      </c>
      <c r="T10" s="268">
        <v>46147</v>
      </c>
      <c r="U10" s="268">
        <v>46149</v>
      </c>
      <c r="V10" s="15" t="s">
        <v>20</v>
      </c>
      <c r="W10" s="268">
        <v>46150</v>
      </c>
      <c r="X10" s="268">
        <v>46150</v>
      </c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205.5</v>
      </c>
      <c r="E11" s="16" t="s">
        <v>20</v>
      </c>
      <c r="F11" s="16" t="s">
        <v>20</v>
      </c>
      <c r="G11" s="16" t="s">
        <v>20</v>
      </c>
      <c r="H11" s="398">
        <v>46121</v>
      </c>
      <c r="I11" s="398">
        <v>46121</v>
      </c>
      <c r="J11" s="16" t="s">
        <v>20</v>
      </c>
      <c r="K11" s="268">
        <v>46122</v>
      </c>
      <c r="L11" s="268">
        <v>46122</v>
      </c>
      <c r="M11" s="16" t="s">
        <v>20</v>
      </c>
      <c r="N11" s="16" t="s">
        <v>20</v>
      </c>
      <c r="O11" s="24" t="s">
        <v>739</v>
      </c>
      <c r="P11" s="25"/>
      <c r="Q11" s="24"/>
      <c r="R11" s="211"/>
      <c r="S11" s="15" t="s">
        <v>20</v>
      </c>
      <c r="T11" s="268">
        <v>46147</v>
      </c>
      <c r="U11" s="268">
        <v>46149</v>
      </c>
      <c r="V11" s="15" t="s">
        <v>20</v>
      </c>
      <c r="W11" s="268">
        <v>46150</v>
      </c>
      <c r="X11" s="268">
        <v>46150</v>
      </c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729.1</v>
      </c>
      <c r="E12" s="16" t="s">
        <v>20</v>
      </c>
      <c r="F12" s="16" t="s">
        <v>20</v>
      </c>
      <c r="G12" s="16" t="s">
        <v>20</v>
      </c>
      <c r="H12" s="398">
        <v>46123</v>
      </c>
      <c r="I12" s="398">
        <v>46125</v>
      </c>
      <c r="J12" s="16" t="s">
        <v>20</v>
      </c>
      <c r="K12" s="268">
        <v>46126</v>
      </c>
      <c r="L12" s="268">
        <v>46126</v>
      </c>
      <c r="M12" s="16" t="s">
        <v>20</v>
      </c>
      <c r="N12" s="16" t="s">
        <v>20</v>
      </c>
      <c r="O12" s="24" t="s">
        <v>739</v>
      </c>
      <c r="P12" s="25"/>
      <c r="Q12" s="24"/>
      <c r="R12" s="211"/>
      <c r="S12" s="15" t="s">
        <v>20</v>
      </c>
      <c r="T12" s="268">
        <v>46147</v>
      </c>
      <c r="U12" s="268">
        <v>46149</v>
      </c>
      <c r="V12" s="15" t="s">
        <v>20</v>
      </c>
      <c r="W12" s="268">
        <v>46150</v>
      </c>
      <c r="X12" s="268">
        <v>46150</v>
      </c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398">
        <f>I13-1</f>
        <v>45870</v>
      </c>
      <c r="I13" s="268">
        <f t="shared" ref="I13:I14" si="5">K13-2</f>
        <v>45871</v>
      </c>
      <c r="J13" s="16" t="s">
        <v>20</v>
      </c>
      <c r="K13" s="268">
        <f t="shared" ref="K13:K14" si="6">L13-3</f>
        <v>45873</v>
      </c>
      <c r="L13" s="268">
        <v>45876</v>
      </c>
      <c r="M13" s="16" t="s">
        <v>20</v>
      </c>
      <c r="N13" s="16" t="s">
        <v>20</v>
      </c>
      <c r="O13" s="24" t="s">
        <v>616</v>
      </c>
      <c r="P13" s="25"/>
      <c r="Q13" s="24"/>
      <c r="R13" s="211"/>
      <c r="S13" s="15" t="s">
        <v>20</v>
      </c>
      <c r="T13" s="268">
        <v>46147</v>
      </c>
      <c r="U13" s="268">
        <v>46149</v>
      </c>
      <c r="V13" s="15" t="s">
        <v>20</v>
      </c>
      <c r="W13" s="268">
        <v>46150</v>
      </c>
      <c r="X13" s="268">
        <v>46150</v>
      </c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356.7</v>
      </c>
      <c r="E14" s="16" t="s">
        <v>20</v>
      </c>
      <c r="F14" s="16" t="s">
        <v>20</v>
      </c>
      <c r="G14" s="16" t="s">
        <v>20</v>
      </c>
      <c r="H14" s="398">
        <f>I14-3</f>
        <v>45864</v>
      </c>
      <c r="I14" s="268">
        <f t="shared" si="5"/>
        <v>45867</v>
      </c>
      <c r="J14" s="16" t="s">
        <v>20</v>
      </c>
      <c r="K14" s="268">
        <f t="shared" si="6"/>
        <v>45869</v>
      </c>
      <c r="L14" s="268">
        <v>45872</v>
      </c>
      <c r="M14" s="16" t="s">
        <v>20</v>
      </c>
      <c r="N14" s="16" t="s">
        <v>20</v>
      </c>
      <c r="O14" s="24" t="s">
        <v>616</v>
      </c>
      <c r="P14" s="25"/>
      <c r="Q14" s="24"/>
      <c r="R14" s="211"/>
      <c r="S14" s="15" t="s">
        <v>20</v>
      </c>
      <c r="T14" s="268">
        <v>46147</v>
      </c>
      <c r="U14" s="268">
        <v>46149</v>
      </c>
      <c r="V14" s="15" t="s">
        <v>20</v>
      </c>
      <c r="W14" s="268">
        <v>46150</v>
      </c>
      <c r="X14" s="268">
        <v>46150</v>
      </c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398">
        <v>46101</v>
      </c>
      <c r="I15" s="398">
        <v>46101</v>
      </c>
      <c r="J15" s="16" t="s">
        <v>20</v>
      </c>
      <c r="K15" s="268">
        <v>46102</v>
      </c>
      <c r="L15" s="268">
        <v>46102</v>
      </c>
      <c r="M15" s="16" t="s">
        <v>20</v>
      </c>
      <c r="N15" s="16" t="s">
        <v>20</v>
      </c>
      <c r="O15" s="24" t="s">
        <v>739</v>
      </c>
      <c r="P15" s="25"/>
      <c r="Q15" s="24"/>
      <c r="R15" s="211"/>
      <c r="S15" s="15" t="s">
        <v>20</v>
      </c>
      <c r="T15" s="268">
        <v>46147</v>
      </c>
      <c r="U15" s="268">
        <v>46149</v>
      </c>
      <c r="V15" s="15" t="s">
        <v>20</v>
      </c>
      <c r="W15" s="268">
        <v>46150</v>
      </c>
      <c r="X15" s="268">
        <v>46150</v>
      </c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 t="s">
        <v>20</v>
      </c>
      <c r="F16" s="16" t="s">
        <v>20</v>
      </c>
      <c r="G16" s="16" t="s">
        <v>20</v>
      </c>
      <c r="H16" s="398">
        <v>46118</v>
      </c>
      <c r="I16" s="398">
        <v>46118</v>
      </c>
      <c r="J16" s="16" t="s">
        <v>20</v>
      </c>
      <c r="K16" s="268">
        <v>46119</v>
      </c>
      <c r="L16" s="268">
        <v>46119</v>
      </c>
      <c r="M16" s="16" t="s">
        <v>20</v>
      </c>
      <c r="N16" s="16" t="s">
        <v>20</v>
      </c>
      <c r="O16" s="24" t="s">
        <v>739</v>
      </c>
      <c r="P16" s="25"/>
      <c r="Q16" s="24"/>
      <c r="R16" s="211"/>
      <c r="S16" s="15" t="s">
        <v>20</v>
      </c>
      <c r="T16" s="268">
        <v>46151</v>
      </c>
      <c r="U16" s="268">
        <f>T16+1</f>
        <v>46152</v>
      </c>
      <c r="V16" s="15" t="s">
        <v>20</v>
      </c>
      <c r="W16" s="268">
        <v>46152</v>
      </c>
      <c r="X16" s="268">
        <f>W16+1</f>
        <v>46153</v>
      </c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398">
        <f t="shared" ref="H17:H18" si="7">I17-3</f>
        <v>45849</v>
      </c>
      <c r="I17" s="268">
        <f t="shared" ref="I17:I18" si="8">K17-2</f>
        <v>45852</v>
      </c>
      <c r="J17" s="16" t="s">
        <v>20</v>
      </c>
      <c r="K17" s="268">
        <f t="shared" ref="K17:K18" si="9">L17-2</f>
        <v>45854</v>
      </c>
      <c r="L17" s="268">
        <v>45856</v>
      </c>
      <c r="M17" s="16" t="s">
        <v>20</v>
      </c>
      <c r="N17" s="16" t="s">
        <v>20</v>
      </c>
      <c r="O17" s="24" t="s">
        <v>616</v>
      </c>
      <c r="P17" s="25"/>
      <c r="Q17" s="24"/>
      <c r="R17" s="211"/>
      <c r="S17" s="15" t="s">
        <v>20</v>
      </c>
      <c r="T17" s="268">
        <v>46151</v>
      </c>
      <c r="U17" s="268">
        <f t="shared" ref="U17:U23" si="10">T17+1</f>
        <v>46152</v>
      </c>
      <c r="V17" s="15" t="s">
        <v>20</v>
      </c>
      <c r="W17" s="268">
        <v>46152</v>
      </c>
      <c r="X17" s="268">
        <f t="shared" ref="X17:X23" si="11">W17+1</f>
        <v>46153</v>
      </c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398">
        <f t="shared" si="7"/>
        <v>45849</v>
      </c>
      <c r="I18" s="268">
        <f t="shared" si="8"/>
        <v>45852</v>
      </c>
      <c r="J18" s="16" t="s">
        <v>20</v>
      </c>
      <c r="K18" s="268">
        <f t="shared" si="9"/>
        <v>45854</v>
      </c>
      <c r="L18" s="268">
        <v>45856</v>
      </c>
      <c r="M18" s="16" t="s">
        <v>20</v>
      </c>
      <c r="N18" s="16" t="s">
        <v>20</v>
      </c>
      <c r="O18" s="24" t="s">
        <v>616</v>
      </c>
      <c r="P18" s="25"/>
      <c r="Q18" s="24"/>
      <c r="R18" s="211"/>
      <c r="S18" s="15" t="s">
        <v>20</v>
      </c>
      <c r="T18" s="268">
        <v>46151</v>
      </c>
      <c r="U18" s="268">
        <f t="shared" si="10"/>
        <v>46152</v>
      </c>
      <c r="V18" s="15" t="s">
        <v>20</v>
      </c>
      <c r="W18" s="268">
        <v>46152</v>
      </c>
      <c r="X18" s="268">
        <f t="shared" si="11"/>
        <v>46153</v>
      </c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 t="s">
        <v>20</v>
      </c>
      <c r="F19" s="16" t="s">
        <v>20</v>
      </c>
      <c r="G19" s="16" t="s">
        <v>20</v>
      </c>
      <c r="H19" s="268">
        <v>46200</v>
      </c>
      <c r="I19" s="268">
        <v>46200</v>
      </c>
      <c r="J19" s="16" t="s">
        <v>20</v>
      </c>
      <c r="K19" s="268">
        <v>46231</v>
      </c>
      <c r="L19" s="268">
        <v>45866</v>
      </c>
      <c r="M19" s="16" t="s">
        <v>20</v>
      </c>
      <c r="N19" s="16" t="s">
        <v>20</v>
      </c>
      <c r="O19" s="24"/>
      <c r="P19" s="25"/>
      <c r="Q19" s="24"/>
      <c r="R19" s="211"/>
      <c r="S19" s="15" t="s">
        <v>20</v>
      </c>
      <c r="T19" s="268">
        <v>46151</v>
      </c>
      <c r="U19" s="268">
        <f t="shared" si="10"/>
        <v>46152</v>
      </c>
      <c r="V19" s="15" t="s">
        <v>20</v>
      </c>
      <c r="W19" s="268">
        <v>46152</v>
      </c>
      <c r="X19" s="268">
        <f t="shared" si="11"/>
        <v>46153</v>
      </c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 t="s">
        <v>20</v>
      </c>
      <c r="F20" s="16" t="s">
        <v>20</v>
      </c>
      <c r="G20" s="16" t="s">
        <v>20</v>
      </c>
      <c r="H20" s="268">
        <v>46195</v>
      </c>
      <c r="I20" s="268">
        <v>46196</v>
      </c>
      <c r="J20" s="16" t="s">
        <v>20</v>
      </c>
      <c r="K20" s="268">
        <v>46197</v>
      </c>
      <c r="L20" s="268">
        <v>46199</v>
      </c>
      <c r="M20" s="16" t="s">
        <v>20</v>
      </c>
      <c r="N20" s="16" t="s">
        <v>20</v>
      </c>
      <c r="O20" s="24"/>
      <c r="P20" s="25"/>
      <c r="Q20" s="24"/>
      <c r="R20" s="211"/>
      <c r="S20" s="15" t="s">
        <v>20</v>
      </c>
      <c r="T20" s="268">
        <v>46151</v>
      </c>
      <c r="U20" s="268">
        <f t="shared" si="10"/>
        <v>46152</v>
      </c>
      <c r="V20" s="15" t="s">
        <v>20</v>
      </c>
      <c r="W20" s="268">
        <v>46152</v>
      </c>
      <c r="X20" s="268">
        <f t="shared" si="11"/>
        <v>46153</v>
      </c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 t="s">
        <v>20</v>
      </c>
      <c r="F21" s="16" t="s">
        <v>20</v>
      </c>
      <c r="G21" s="16" t="s">
        <v>20</v>
      </c>
      <c r="H21" s="268">
        <v>46195</v>
      </c>
      <c r="I21" s="268">
        <v>46196</v>
      </c>
      <c r="J21" s="16" t="s">
        <v>20</v>
      </c>
      <c r="K21" s="268">
        <v>46197</v>
      </c>
      <c r="L21" s="268">
        <v>46199</v>
      </c>
      <c r="M21" s="16" t="s">
        <v>20</v>
      </c>
      <c r="N21" s="16" t="s">
        <v>20</v>
      </c>
      <c r="O21" s="24"/>
      <c r="P21" s="25"/>
      <c r="Q21" s="24"/>
      <c r="R21" s="211"/>
      <c r="S21" s="15" t="s">
        <v>20</v>
      </c>
      <c r="T21" s="268">
        <v>46151</v>
      </c>
      <c r="U21" s="268">
        <f t="shared" si="10"/>
        <v>46152</v>
      </c>
      <c r="V21" s="15" t="s">
        <v>20</v>
      </c>
      <c r="W21" s="268">
        <v>46152</v>
      </c>
      <c r="X21" s="268">
        <f t="shared" si="11"/>
        <v>46153</v>
      </c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398">
        <f t="shared" ref="H22:H26" si="12">I22-3</f>
        <v>45891</v>
      </c>
      <c r="I22" s="268">
        <v>45894</v>
      </c>
      <c r="J22" s="16" t="s">
        <v>20</v>
      </c>
      <c r="K22" s="268">
        <f>L22-2</f>
        <v>45919</v>
      </c>
      <c r="L22" s="268">
        <v>45921</v>
      </c>
      <c r="M22" s="16" t="s">
        <v>20</v>
      </c>
      <c r="N22" s="16" t="s">
        <v>20</v>
      </c>
      <c r="O22" s="24" t="s">
        <v>739</v>
      </c>
      <c r="P22" s="25"/>
      <c r="Q22" s="24"/>
      <c r="R22" s="211"/>
      <c r="S22" s="15" t="s">
        <v>20</v>
      </c>
      <c r="T22" s="268">
        <v>46151</v>
      </c>
      <c r="U22" s="268">
        <f t="shared" si="10"/>
        <v>46152</v>
      </c>
      <c r="V22" s="15" t="s">
        <v>20</v>
      </c>
      <c r="W22" s="268">
        <v>46152</v>
      </c>
      <c r="X22" s="268">
        <f t="shared" si="11"/>
        <v>46153</v>
      </c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398">
        <f t="shared" si="12"/>
        <v>45891</v>
      </c>
      <c r="I23" s="268">
        <v>45894</v>
      </c>
      <c r="J23" s="16" t="s">
        <v>20</v>
      </c>
      <c r="K23" s="268">
        <f>K22</f>
        <v>45919</v>
      </c>
      <c r="L23" s="268">
        <v>45921</v>
      </c>
      <c r="M23" s="16" t="s">
        <v>20</v>
      </c>
      <c r="N23" s="16" t="s">
        <v>20</v>
      </c>
      <c r="O23" s="24" t="s">
        <v>739</v>
      </c>
      <c r="P23" s="15"/>
      <c r="Q23" s="24"/>
      <c r="R23" s="211"/>
      <c r="S23" s="15" t="s">
        <v>20</v>
      </c>
      <c r="T23" s="268">
        <v>46151</v>
      </c>
      <c r="U23" s="268">
        <f t="shared" si="10"/>
        <v>46152</v>
      </c>
      <c r="V23" s="15" t="s">
        <v>20</v>
      </c>
      <c r="W23" s="268">
        <v>46152</v>
      </c>
      <c r="X23" s="268">
        <f t="shared" si="11"/>
        <v>46153</v>
      </c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</v>
      </c>
      <c r="E24" s="16" t="s">
        <v>20</v>
      </c>
      <c r="F24" s="16" t="s">
        <v>20</v>
      </c>
      <c r="G24" s="16" t="s">
        <v>20</v>
      </c>
      <c r="H24" s="398">
        <f t="shared" si="12"/>
        <v>45891</v>
      </c>
      <c r="I24" s="268">
        <v>45894</v>
      </c>
      <c r="J24" s="16" t="s">
        <v>20</v>
      </c>
      <c r="K24" s="268">
        <f t="shared" ref="K24:K25" si="13">L24-3</f>
        <v>45910</v>
      </c>
      <c r="L24" s="268">
        <v>45913</v>
      </c>
      <c r="M24" s="16" t="s">
        <v>20</v>
      </c>
      <c r="N24" s="16" t="s">
        <v>20</v>
      </c>
      <c r="O24" s="24" t="s">
        <v>739</v>
      </c>
      <c r="P24" s="15"/>
      <c r="Q24" s="24"/>
      <c r="R24" s="211"/>
      <c r="S24" s="15" t="s">
        <v>20</v>
      </c>
      <c r="T24" s="268">
        <v>46105</v>
      </c>
      <c r="U24" s="268">
        <v>46109</v>
      </c>
      <c r="V24" s="15" t="s">
        <v>20</v>
      </c>
      <c r="W24" s="268">
        <v>46109</v>
      </c>
      <c r="X24" s="26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398">
        <f t="shared" si="12"/>
        <v>45891</v>
      </c>
      <c r="I25" s="268">
        <v>45894</v>
      </c>
      <c r="J25" s="16" t="s">
        <v>20</v>
      </c>
      <c r="K25" s="268">
        <f t="shared" si="13"/>
        <v>45900</v>
      </c>
      <c r="L25" s="268">
        <v>45903</v>
      </c>
      <c r="M25" s="16" t="s">
        <v>20</v>
      </c>
      <c r="N25" s="16" t="s">
        <v>20</v>
      </c>
      <c r="O25" s="24" t="s">
        <v>739</v>
      </c>
      <c r="P25" s="15"/>
      <c r="Q25" s="24"/>
      <c r="R25" s="211"/>
      <c r="S25" s="15" t="s">
        <v>20</v>
      </c>
      <c r="T25" s="268">
        <v>46105</v>
      </c>
      <c r="U25" s="268">
        <v>46109</v>
      </c>
      <c r="V25" s="15" t="s">
        <v>20</v>
      </c>
      <c r="W25" s="268">
        <v>46109</v>
      </c>
      <c r="X25" s="26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398">
        <f t="shared" si="12"/>
        <v>45891</v>
      </c>
      <c r="I26" s="268">
        <v>45894</v>
      </c>
      <c r="J26" s="16" t="s">
        <v>20</v>
      </c>
      <c r="K26" s="268">
        <f>L26-1</f>
        <v>45916</v>
      </c>
      <c r="L26" s="268">
        <v>45917</v>
      </c>
      <c r="M26" s="16" t="s">
        <v>20</v>
      </c>
      <c r="N26" s="16" t="s">
        <v>20</v>
      </c>
      <c r="O26" s="24" t="s">
        <v>739</v>
      </c>
      <c r="P26" s="15"/>
      <c r="Q26" s="24"/>
      <c r="R26" s="211"/>
      <c r="S26" s="15" t="s">
        <v>20</v>
      </c>
      <c r="T26" s="268">
        <v>46105</v>
      </c>
      <c r="U26" s="268">
        <v>46109</v>
      </c>
      <c r="V26" s="15" t="s">
        <v>20</v>
      </c>
      <c r="W26" s="268">
        <v>46109</v>
      </c>
      <c r="X26" s="26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188.5</v>
      </c>
      <c r="E27" s="16" t="s">
        <v>20</v>
      </c>
      <c r="F27" s="16" t="s">
        <v>20</v>
      </c>
      <c r="G27" s="16" t="s">
        <v>20</v>
      </c>
      <c r="H27" s="398">
        <v>45897</v>
      </c>
      <c r="I27" s="268">
        <v>45900</v>
      </c>
      <c r="J27" s="16" t="s">
        <v>20</v>
      </c>
      <c r="K27" s="268">
        <f t="shared" ref="K27:K28" si="14">L27-3</f>
        <v>45907</v>
      </c>
      <c r="L27" s="268">
        <v>45910</v>
      </c>
      <c r="M27" s="16" t="s">
        <v>20</v>
      </c>
      <c r="N27" s="16" t="s">
        <v>20</v>
      </c>
      <c r="O27" s="24" t="s">
        <v>739</v>
      </c>
      <c r="P27" s="15"/>
      <c r="Q27" s="24"/>
      <c r="R27" s="211"/>
      <c r="S27" s="15" t="s">
        <v>20</v>
      </c>
      <c r="T27" s="268">
        <v>46105</v>
      </c>
      <c r="U27" s="268">
        <v>46109</v>
      </c>
      <c r="V27" s="15" t="s">
        <v>20</v>
      </c>
      <c r="W27" s="268">
        <v>46109</v>
      </c>
      <c r="X27" s="26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398">
        <v>45897</v>
      </c>
      <c r="I28" s="268">
        <v>45900</v>
      </c>
      <c r="J28" s="16" t="s">
        <v>20</v>
      </c>
      <c r="K28" s="268">
        <f t="shared" si="14"/>
        <v>45908</v>
      </c>
      <c r="L28" s="268">
        <f>L27+1</f>
        <v>45911</v>
      </c>
      <c r="M28" s="16" t="s">
        <v>20</v>
      </c>
      <c r="N28" s="16" t="s">
        <v>20</v>
      </c>
      <c r="O28" s="24" t="s">
        <v>739</v>
      </c>
      <c r="P28" s="15"/>
      <c r="Q28" s="24"/>
      <c r="R28" s="211"/>
      <c r="S28" s="15" t="s">
        <v>20</v>
      </c>
      <c r="T28" s="268">
        <v>46105</v>
      </c>
      <c r="U28" s="268">
        <v>46109</v>
      </c>
      <c r="V28" s="15" t="s">
        <v>20</v>
      </c>
      <c r="W28" s="268">
        <v>46109</v>
      </c>
      <c r="X28" s="26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398">
        <f>I29</f>
        <v>45946</v>
      </c>
      <c r="I29" s="268">
        <f>K29-1</f>
        <v>45946</v>
      </c>
      <c r="J29" s="16" t="s">
        <v>20</v>
      </c>
      <c r="K29" s="268">
        <f>L29-2</f>
        <v>45947</v>
      </c>
      <c r="L29" s="268">
        <v>45949</v>
      </c>
      <c r="M29" s="16" t="s">
        <v>20</v>
      </c>
      <c r="N29" s="16" t="s">
        <v>20</v>
      </c>
      <c r="O29" s="24" t="s">
        <v>739</v>
      </c>
      <c r="P29" s="15"/>
      <c r="Q29" s="24"/>
      <c r="R29" s="211"/>
      <c r="S29" s="15" t="s">
        <v>20</v>
      </c>
      <c r="T29" s="268">
        <v>46105</v>
      </c>
      <c r="U29" s="268">
        <v>46109</v>
      </c>
      <c r="V29" s="15" t="s">
        <v>20</v>
      </c>
      <c r="W29" s="268">
        <v>46109</v>
      </c>
      <c r="X29" s="26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342</v>
      </c>
      <c r="E30" s="16" t="s">
        <v>20</v>
      </c>
      <c r="F30" s="16" t="s">
        <v>20</v>
      </c>
      <c r="G30" s="16" t="s">
        <v>20</v>
      </c>
      <c r="H30" s="268">
        <v>46063</v>
      </c>
      <c r="I30" s="268">
        <v>46065</v>
      </c>
      <c r="J30" s="16" t="s">
        <v>20</v>
      </c>
      <c r="K30" s="268">
        <v>46066</v>
      </c>
      <c r="L30" s="268">
        <v>46067</v>
      </c>
      <c r="M30" s="16" t="s">
        <v>20</v>
      </c>
      <c r="N30" s="16" t="s">
        <v>20</v>
      </c>
      <c r="O30" s="24" t="s">
        <v>739</v>
      </c>
      <c r="P30" s="15"/>
      <c r="Q30" s="24"/>
      <c r="R30" s="211"/>
      <c r="S30" s="15" t="s">
        <v>20</v>
      </c>
      <c r="T30" s="268">
        <v>46105</v>
      </c>
      <c r="U30" s="268">
        <v>46109</v>
      </c>
      <c r="V30" s="15" t="s">
        <v>20</v>
      </c>
      <c r="W30" s="268">
        <v>46109</v>
      </c>
      <c r="X30" s="26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264</v>
      </c>
      <c r="E31" s="16" t="s">
        <v>20</v>
      </c>
      <c r="F31" s="16" t="s">
        <v>20</v>
      </c>
      <c r="G31" s="16" t="s">
        <v>20</v>
      </c>
      <c r="H31" s="398">
        <v>46062</v>
      </c>
      <c r="I31" s="268">
        <v>46063</v>
      </c>
      <c r="J31" s="16" t="s">
        <v>20</v>
      </c>
      <c r="K31" s="268">
        <v>46067</v>
      </c>
      <c r="L31" s="268">
        <v>46068</v>
      </c>
      <c r="M31" s="16" t="s">
        <v>20</v>
      </c>
      <c r="N31" s="16" t="s">
        <v>20</v>
      </c>
      <c r="O31" s="24" t="s">
        <v>739</v>
      </c>
      <c r="P31" s="15"/>
      <c r="Q31" s="24"/>
      <c r="R31" s="211"/>
      <c r="S31" s="15" t="s">
        <v>20</v>
      </c>
      <c r="T31" s="268">
        <v>46105</v>
      </c>
      <c r="U31" s="268">
        <v>46109</v>
      </c>
      <c r="V31" s="15" t="s">
        <v>20</v>
      </c>
      <c r="W31" s="268">
        <v>46109</v>
      </c>
      <c r="X31" s="26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398">
        <v>46059</v>
      </c>
      <c r="I32" s="268">
        <v>46062</v>
      </c>
      <c r="J32" s="16" t="s">
        <v>20</v>
      </c>
      <c r="K32" s="268">
        <v>46062</v>
      </c>
      <c r="L32" s="268">
        <v>46063</v>
      </c>
      <c r="M32" s="16" t="s">
        <v>20</v>
      </c>
      <c r="N32" s="16" t="s">
        <v>20</v>
      </c>
      <c r="O32" s="24" t="s">
        <v>739</v>
      </c>
      <c r="P32" s="15"/>
      <c r="Q32" s="24"/>
      <c r="R32" s="211"/>
      <c r="S32" s="15" t="s">
        <v>20</v>
      </c>
      <c r="T32" s="268">
        <v>46105</v>
      </c>
      <c r="U32" s="268">
        <v>46109</v>
      </c>
      <c r="V32" s="15" t="s">
        <v>20</v>
      </c>
      <c r="W32" s="268">
        <v>46109</v>
      </c>
      <c r="X32" s="26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462.1</v>
      </c>
      <c r="E33" s="16" t="s">
        <v>20</v>
      </c>
      <c r="F33" s="16" t="s">
        <v>20</v>
      </c>
      <c r="G33" s="16" t="s">
        <v>20</v>
      </c>
      <c r="H33" s="398">
        <v>46050</v>
      </c>
      <c r="I33" s="268">
        <v>46057</v>
      </c>
      <c r="J33" s="16" t="s">
        <v>20</v>
      </c>
      <c r="K33" s="268">
        <v>46060</v>
      </c>
      <c r="L33" s="268">
        <v>46062</v>
      </c>
      <c r="M33" s="16" t="s">
        <v>20</v>
      </c>
      <c r="N33" s="16" t="s">
        <v>20</v>
      </c>
      <c r="O33" s="24" t="s">
        <v>739</v>
      </c>
      <c r="P33" s="25"/>
      <c r="Q33" s="24"/>
      <c r="R33" s="211"/>
      <c r="S33" s="15" t="s">
        <v>20</v>
      </c>
      <c r="T33" s="268">
        <v>46105</v>
      </c>
      <c r="U33" s="268">
        <v>46109</v>
      </c>
      <c r="V33" s="15" t="s">
        <v>20</v>
      </c>
      <c r="W33" s="268">
        <v>46109</v>
      </c>
      <c r="X33" s="26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398">
        <v>46050</v>
      </c>
      <c r="I34" s="268">
        <v>46057</v>
      </c>
      <c r="J34" s="16" t="s">
        <v>20</v>
      </c>
      <c r="K34" s="268">
        <v>46057</v>
      </c>
      <c r="L34" s="268">
        <v>46059</v>
      </c>
      <c r="M34" s="16" t="s">
        <v>20</v>
      </c>
      <c r="N34" s="16" t="s">
        <v>20</v>
      </c>
      <c r="O34" s="24" t="s">
        <v>739</v>
      </c>
      <c r="P34" s="25"/>
      <c r="Q34" s="24"/>
      <c r="R34" s="211"/>
      <c r="S34" s="15" t="s">
        <v>20</v>
      </c>
      <c r="T34" s="268">
        <v>46100</v>
      </c>
      <c r="U34" s="268">
        <v>46103</v>
      </c>
      <c r="V34" s="15" t="s">
        <v>20</v>
      </c>
      <c r="W34" s="268">
        <v>46104</v>
      </c>
      <c r="X34" s="26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1152.0999999999999</v>
      </c>
      <c r="E35" s="16" t="s">
        <v>20</v>
      </c>
      <c r="F35" s="16" t="s">
        <v>20</v>
      </c>
      <c r="G35" s="16" t="s">
        <v>20</v>
      </c>
      <c r="H35" s="398">
        <f>I35-2</f>
        <v>45922</v>
      </c>
      <c r="I35" s="268">
        <v>45924</v>
      </c>
      <c r="J35" s="16" t="s">
        <v>20</v>
      </c>
      <c r="K35" s="268">
        <f>L35-2</f>
        <v>45925</v>
      </c>
      <c r="L35" s="268">
        <v>45927</v>
      </c>
      <c r="M35" s="16" t="s">
        <v>20</v>
      </c>
      <c r="N35" s="16" t="s">
        <v>20</v>
      </c>
      <c r="O35" s="24" t="s">
        <v>739</v>
      </c>
      <c r="P35" s="25"/>
      <c r="Q35" s="24"/>
      <c r="R35" s="211"/>
      <c r="S35" s="15" t="s">
        <v>20</v>
      </c>
      <c r="T35" s="268">
        <v>46100</v>
      </c>
      <c r="U35" s="268">
        <v>46103</v>
      </c>
      <c r="V35" s="15" t="s">
        <v>20</v>
      </c>
      <c r="W35" s="268">
        <v>46104</v>
      </c>
      <c r="X35" s="26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170.7</v>
      </c>
      <c r="E36" s="16" t="s">
        <v>20</v>
      </c>
      <c r="F36" s="16" t="s">
        <v>20</v>
      </c>
      <c r="G36" s="16" t="s">
        <v>20</v>
      </c>
      <c r="H36" s="398">
        <f>I36</f>
        <v>45931</v>
      </c>
      <c r="I36" s="268">
        <v>45931</v>
      </c>
      <c r="J36" s="16" t="s">
        <v>20</v>
      </c>
      <c r="K36" s="268">
        <f t="shared" ref="K36:K38" si="15">L36-1</f>
        <v>45934</v>
      </c>
      <c r="L36" s="268">
        <v>45935</v>
      </c>
      <c r="M36" s="16" t="s">
        <v>20</v>
      </c>
      <c r="N36" s="16" t="s">
        <v>20</v>
      </c>
      <c r="O36" s="24" t="s">
        <v>739</v>
      </c>
      <c r="P36" s="25"/>
      <c r="Q36" s="24"/>
      <c r="R36" s="211"/>
      <c r="S36" s="15" t="s">
        <v>20</v>
      </c>
      <c r="T36" s="268">
        <v>46100</v>
      </c>
      <c r="U36" s="268">
        <v>46103</v>
      </c>
      <c r="V36" s="15" t="s">
        <v>20</v>
      </c>
      <c r="W36" s="268">
        <v>46104</v>
      </c>
      <c r="X36" s="26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398">
        <f t="shared" ref="H37:I37" si="16">H36+2</f>
        <v>45933</v>
      </c>
      <c r="I37" s="268">
        <f t="shared" si="16"/>
        <v>45933</v>
      </c>
      <c r="J37" s="16" t="s">
        <v>20</v>
      </c>
      <c r="K37" s="268">
        <f t="shared" si="15"/>
        <v>45938</v>
      </c>
      <c r="L37" s="268">
        <v>45939</v>
      </c>
      <c r="M37" s="16" t="s">
        <v>20</v>
      </c>
      <c r="N37" s="16" t="s">
        <v>20</v>
      </c>
      <c r="O37" s="24" t="s">
        <v>739</v>
      </c>
      <c r="P37" s="25"/>
      <c r="Q37" s="24"/>
      <c r="R37" s="211"/>
      <c r="S37" s="15" t="s">
        <v>20</v>
      </c>
      <c r="T37" s="268">
        <v>46100</v>
      </c>
      <c r="U37" s="268">
        <v>46103</v>
      </c>
      <c r="V37" s="15" t="s">
        <v>20</v>
      </c>
      <c r="W37" s="268">
        <v>46104</v>
      </c>
      <c r="X37" s="26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398">
        <f t="shared" ref="H38:I38" si="17">H37+1</f>
        <v>45934</v>
      </c>
      <c r="I38" s="268">
        <f t="shared" si="17"/>
        <v>45934</v>
      </c>
      <c r="J38" s="16" t="s">
        <v>20</v>
      </c>
      <c r="K38" s="268">
        <f t="shared" si="15"/>
        <v>45938</v>
      </c>
      <c r="L38" s="268">
        <v>45939</v>
      </c>
      <c r="M38" s="16" t="s">
        <v>20</v>
      </c>
      <c r="N38" s="16" t="s">
        <v>20</v>
      </c>
      <c r="O38" s="24" t="s">
        <v>739</v>
      </c>
      <c r="P38" s="25"/>
      <c r="Q38" s="24"/>
      <c r="R38" s="211"/>
      <c r="S38" s="15" t="s">
        <v>20</v>
      </c>
      <c r="T38" s="268">
        <v>46100</v>
      </c>
      <c r="U38" s="268">
        <v>46103</v>
      </c>
      <c r="V38" s="15" t="s">
        <v>20</v>
      </c>
      <c r="W38" s="268">
        <v>46104</v>
      </c>
      <c r="X38" s="26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398">
        <v>46094</v>
      </c>
      <c r="I39" s="398">
        <v>46094</v>
      </c>
      <c r="J39" s="16" t="s">
        <v>20</v>
      </c>
      <c r="K39" s="268">
        <v>46095</v>
      </c>
      <c r="L39" s="268">
        <v>46095</v>
      </c>
      <c r="M39" s="16" t="s">
        <v>20</v>
      </c>
      <c r="N39" s="16" t="s">
        <v>20</v>
      </c>
      <c r="O39" s="24" t="s">
        <v>739</v>
      </c>
      <c r="P39" s="25"/>
      <c r="Q39" s="24"/>
      <c r="R39" s="211"/>
      <c r="S39" s="15" t="s">
        <v>20</v>
      </c>
      <c r="T39" s="268">
        <v>46100</v>
      </c>
      <c r="U39" s="268">
        <v>46103</v>
      </c>
      <c r="V39" s="15" t="s">
        <v>20</v>
      </c>
      <c r="W39" s="268">
        <v>46104</v>
      </c>
      <c r="X39" s="26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398">
        <v>46086</v>
      </c>
      <c r="I40" s="398">
        <v>46087</v>
      </c>
      <c r="J40" s="16" t="s">
        <v>20</v>
      </c>
      <c r="K40" s="268">
        <v>46088</v>
      </c>
      <c r="L40" s="268">
        <v>46089</v>
      </c>
      <c r="M40" s="16" t="s">
        <v>20</v>
      </c>
      <c r="N40" s="16" t="s">
        <v>20</v>
      </c>
      <c r="O40" s="24" t="s">
        <v>739</v>
      </c>
      <c r="P40" s="25"/>
      <c r="Q40" s="24"/>
      <c r="R40" s="211"/>
      <c r="S40" s="15" t="s">
        <v>20</v>
      </c>
      <c r="T40" s="268">
        <v>46100</v>
      </c>
      <c r="U40" s="268">
        <v>46103</v>
      </c>
      <c r="V40" s="15" t="s">
        <v>20</v>
      </c>
      <c r="W40" s="268">
        <v>46104</v>
      </c>
      <c r="X40" s="26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398">
        <v>46083</v>
      </c>
      <c r="I41" s="268">
        <v>46086</v>
      </c>
      <c r="J41" s="16" t="s">
        <v>20</v>
      </c>
      <c r="K41" s="268">
        <v>46089</v>
      </c>
      <c r="L41" s="268">
        <v>46090</v>
      </c>
      <c r="M41" s="16" t="s">
        <v>20</v>
      </c>
      <c r="N41" s="16" t="s">
        <v>20</v>
      </c>
      <c r="O41" s="24" t="s">
        <v>739</v>
      </c>
      <c r="P41" s="25"/>
      <c r="Q41" s="24"/>
      <c r="R41" s="211"/>
      <c r="S41" s="15" t="s">
        <v>20</v>
      </c>
      <c r="T41" s="268">
        <v>46100</v>
      </c>
      <c r="U41" s="268">
        <v>46103</v>
      </c>
      <c r="V41" s="15" t="s">
        <v>20</v>
      </c>
      <c r="W41" s="268">
        <v>46104</v>
      </c>
      <c r="X41" s="26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398">
        <v>46068</v>
      </c>
      <c r="I42" s="398">
        <v>46072</v>
      </c>
      <c r="J42" s="16" t="s">
        <v>20</v>
      </c>
      <c r="K42" s="268">
        <v>46080</v>
      </c>
      <c r="L42" s="268">
        <v>46080</v>
      </c>
      <c r="M42" s="16" t="s">
        <v>20</v>
      </c>
      <c r="N42" s="16" t="s">
        <v>20</v>
      </c>
      <c r="O42" s="24" t="s">
        <v>739</v>
      </c>
      <c r="P42" s="15"/>
      <c r="Q42" s="24"/>
      <c r="R42" s="211"/>
      <c r="S42" s="15" t="s">
        <v>20</v>
      </c>
      <c r="T42" s="268">
        <v>46100</v>
      </c>
      <c r="U42" s="268">
        <v>46103</v>
      </c>
      <c r="V42" s="15" t="s">
        <v>20</v>
      </c>
      <c r="W42" s="268">
        <v>46104</v>
      </c>
      <c r="X42" s="26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398">
        <v>46068</v>
      </c>
      <c r="I43" s="398">
        <v>46072</v>
      </c>
      <c r="J43" s="16" t="s">
        <v>20</v>
      </c>
      <c r="K43" s="268">
        <v>46081</v>
      </c>
      <c r="L43" s="268">
        <v>46081</v>
      </c>
      <c r="M43" s="16" t="s">
        <v>20</v>
      </c>
      <c r="N43" s="16" t="s">
        <v>20</v>
      </c>
      <c r="O43" s="24" t="s">
        <v>739</v>
      </c>
      <c r="P43" s="35"/>
      <c r="Q43" s="35"/>
      <c r="R43" s="212"/>
      <c r="S43" s="15" t="s">
        <v>20</v>
      </c>
      <c r="T43" s="268">
        <v>46092</v>
      </c>
      <c r="U43" s="268">
        <v>46097</v>
      </c>
      <c r="V43" s="15" t="s">
        <v>20</v>
      </c>
      <c r="W43" s="268">
        <v>46098</v>
      </c>
      <c r="X43" s="26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398">
        <v>46068</v>
      </c>
      <c r="I44" s="398">
        <v>46072</v>
      </c>
      <c r="J44" s="16" t="s">
        <v>20</v>
      </c>
      <c r="K44" s="268">
        <v>46098</v>
      </c>
      <c r="L44" s="268">
        <v>46098</v>
      </c>
      <c r="M44" s="16" t="s">
        <v>20</v>
      </c>
      <c r="N44" s="16" t="s">
        <v>20</v>
      </c>
      <c r="O44" s="24" t="s">
        <v>739</v>
      </c>
      <c r="P44" s="35"/>
      <c r="Q44" s="24"/>
      <c r="R44" s="211"/>
      <c r="S44" s="15" t="s">
        <v>20</v>
      </c>
      <c r="T44" s="268">
        <v>46092</v>
      </c>
      <c r="U44" s="268">
        <v>46097</v>
      </c>
      <c r="V44" s="15" t="s">
        <v>20</v>
      </c>
      <c r="W44" s="268">
        <v>46098</v>
      </c>
      <c r="X44" s="26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398">
        <v>46068</v>
      </c>
      <c r="I45" s="398">
        <v>46072</v>
      </c>
      <c r="J45" s="16" t="s">
        <v>20</v>
      </c>
      <c r="K45" s="268">
        <v>46097</v>
      </c>
      <c r="L45" s="268">
        <v>46097</v>
      </c>
      <c r="M45" s="16" t="s">
        <v>20</v>
      </c>
      <c r="N45" s="16" t="s">
        <v>20</v>
      </c>
      <c r="O45" s="24" t="s">
        <v>739</v>
      </c>
      <c r="P45" s="35"/>
      <c r="Q45" s="24"/>
      <c r="R45" s="211"/>
      <c r="S45" s="15" t="s">
        <v>20</v>
      </c>
      <c r="T45" s="268">
        <v>46092</v>
      </c>
      <c r="U45" s="268">
        <v>46097</v>
      </c>
      <c r="V45" s="15" t="s">
        <v>20</v>
      </c>
      <c r="W45" s="268">
        <v>46098</v>
      </c>
      <c r="X45" s="26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398">
        <v>46068</v>
      </c>
      <c r="I46" s="398">
        <v>46072</v>
      </c>
      <c r="J46" s="16" t="s">
        <v>20</v>
      </c>
      <c r="K46" s="268">
        <v>46096</v>
      </c>
      <c r="L46" s="268">
        <v>46096</v>
      </c>
      <c r="M46" s="16" t="s">
        <v>20</v>
      </c>
      <c r="N46" s="16" t="s">
        <v>20</v>
      </c>
      <c r="O46" s="24" t="s">
        <v>739</v>
      </c>
      <c r="P46" s="35"/>
      <c r="Q46" s="24"/>
      <c r="R46" s="211"/>
      <c r="S46" s="15" t="s">
        <v>20</v>
      </c>
      <c r="T46" s="268">
        <v>46092</v>
      </c>
      <c r="U46" s="268">
        <v>46097</v>
      </c>
      <c r="V46" s="15" t="s">
        <v>20</v>
      </c>
      <c r="W46" s="268">
        <v>46098</v>
      </c>
      <c r="X46" s="26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398">
        <f t="shared" ref="H47:H49" si="18">I47-3</f>
        <v>45972</v>
      </c>
      <c r="I47" s="268">
        <f t="shared" ref="I47:I49" si="19">K47-1</f>
        <v>45975</v>
      </c>
      <c r="J47" s="16" t="s">
        <v>20</v>
      </c>
      <c r="K47" s="268">
        <f t="shared" ref="K47:K49" si="20">L47-3</f>
        <v>45976</v>
      </c>
      <c r="L47" s="268">
        <v>45979</v>
      </c>
      <c r="M47" s="16" t="s">
        <v>20</v>
      </c>
      <c r="N47" s="16" t="s">
        <v>20</v>
      </c>
      <c r="O47" s="24" t="s">
        <v>739</v>
      </c>
      <c r="P47" s="35"/>
      <c r="Q47" s="24"/>
      <c r="R47" s="211"/>
      <c r="S47" s="15" t="s">
        <v>20</v>
      </c>
      <c r="T47" s="268">
        <v>46092</v>
      </c>
      <c r="U47" s="268">
        <v>46097</v>
      </c>
      <c r="V47" s="15" t="s">
        <v>20</v>
      </c>
      <c r="W47" s="268">
        <v>46098</v>
      </c>
      <c r="X47" s="26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398">
        <f t="shared" si="18"/>
        <v>45972</v>
      </c>
      <c r="I48" s="268">
        <f t="shared" si="19"/>
        <v>45975</v>
      </c>
      <c r="J48" s="16" t="s">
        <v>20</v>
      </c>
      <c r="K48" s="268">
        <f t="shared" si="20"/>
        <v>45976</v>
      </c>
      <c r="L48" s="268">
        <v>45979</v>
      </c>
      <c r="M48" s="16" t="s">
        <v>20</v>
      </c>
      <c r="N48" s="16" t="s">
        <v>20</v>
      </c>
      <c r="O48" s="24" t="s">
        <v>739</v>
      </c>
      <c r="P48" s="35"/>
      <c r="Q48" s="24"/>
      <c r="R48" s="211"/>
      <c r="S48" s="15" t="s">
        <v>20</v>
      </c>
      <c r="T48" s="268">
        <v>46092</v>
      </c>
      <c r="U48" s="268">
        <v>46097</v>
      </c>
      <c r="V48" s="15" t="s">
        <v>20</v>
      </c>
      <c r="W48" s="268">
        <v>46098</v>
      </c>
      <c r="X48" s="26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398">
        <f t="shared" si="18"/>
        <v>45972</v>
      </c>
      <c r="I49" s="268">
        <f t="shared" si="19"/>
        <v>45975</v>
      </c>
      <c r="J49" s="16" t="s">
        <v>20</v>
      </c>
      <c r="K49" s="268">
        <f t="shared" si="20"/>
        <v>45976</v>
      </c>
      <c r="L49" s="268">
        <v>45979</v>
      </c>
      <c r="M49" s="16" t="s">
        <v>20</v>
      </c>
      <c r="N49" s="16" t="s">
        <v>20</v>
      </c>
      <c r="O49" s="24" t="s">
        <v>739</v>
      </c>
      <c r="P49" s="35"/>
      <c r="Q49" s="24"/>
      <c r="R49" s="211"/>
      <c r="S49" s="15" t="s">
        <v>20</v>
      </c>
      <c r="T49" s="268">
        <v>46092</v>
      </c>
      <c r="U49" s="268">
        <v>46097</v>
      </c>
      <c r="V49" s="15" t="s">
        <v>20</v>
      </c>
      <c r="W49" s="268">
        <v>46098</v>
      </c>
      <c r="X49" s="26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398">
        <v>46073</v>
      </c>
      <c r="I50" s="268">
        <v>46075</v>
      </c>
      <c r="J50" s="15" t="s">
        <v>20</v>
      </c>
      <c r="K50" s="268">
        <v>46077</v>
      </c>
      <c r="L50" s="268">
        <v>46077</v>
      </c>
      <c r="M50" s="16" t="s">
        <v>20</v>
      </c>
      <c r="N50" s="16" t="s">
        <v>20</v>
      </c>
      <c r="O50" s="24" t="s">
        <v>739</v>
      </c>
      <c r="P50" s="35"/>
      <c r="Q50" s="24"/>
      <c r="R50" s="211"/>
      <c r="S50" s="15" t="s">
        <v>20</v>
      </c>
      <c r="T50" s="268">
        <v>46092</v>
      </c>
      <c r="U50" s="268">
        <v>46097</v>
      </c>
      <c r="V50" s="15" t="s">
        <v>20</v>
      </c>
      <c r="W50" s="268">
        <v>46098</v>
      </c>
      <c r="X50" s="26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398">
        <v>46073</v>
      </c>
      <c r="I51" s="268">
        <v>46076</v>
      </c>
      <c r="J51" s="15" t="s">
        <v>20</v>
      </c>
      <c r="K51" s="268">
        <v>46078</v>
      </c>
      <c r="L51" s="268">
        <v>46078</v>
      </c>
      <c r="M51" s="16" t="s">
        <v>20</v>
      </c>
      <c r="N51" s="16" t="s">
        <v>20</v>
      </c>
      <c r="O51" s="24" t="s">
        <v>739</v>
      </c>
      <c r="P51" s="35"/>
      <c r="Q51" s="24"/>
      <c r="R51" s="211"/>
      <c r="S51" s="15" t="s">
        <v>20</v>
      </c>
      <c r="T51" s="268">
        <v>46092</v>
      </c>
      <c r="U51" s="268">
        <v>46097</v>
      </c>
      <c r="V51" s="15" t="s">
        <v>20</v>
      </c>
      <c r="W51" s="268">
        <v>46098</v>
      </c>
      <c r="X51" s="26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398">
        <f>I52-2</f>
        <v>45978</v>
      </c>
      <c r="I52" s="268">
        <v>45980</v>
      </c>
      <c r="J52" s="16" t="s">
        <v>20</v>
      </c>
      <c r="K52" s="268">
        <f>L52-1</f>
        <v>45983</v>
      </c>
      <c r="L52" s="268">
        <v>45984</v>
      </c>
      <c r="M52" s="16" t="s">
        <v>20</v>
      </c>
      <c r="N52" s="16" t="s">
        <v>20</v>
      </c>
      <c r="O52" s="24" t="s">
        <v>739</v>
      </c>
      <c r="P52" s="35"/>
      <c r="Q52" s="24"/>
      <c r="R52" s="211"/>
      <c r="S52" s="15" t="s">
        <v>20</v>
      </c>
      <c r="T52" s="268">
        <v>46092</v>
      </c>
      <c r="U52" s="268">
        <v>46097</v>
      </c>
      <c r="V52" s="15" t="s">
        <v>20</v>
      </c>
      <c r="W52" s="268">
        <v>46098</v>
      </c>
      <c r="X52" s="26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398">
        <f t="shared" ref="H53:H55" si="21">I53-4</f>
        <v>45966</v>
      </c>
      <c r="I53" s="268">
        <v>45970</v>
      </c>
      <c r="J53" s="16" t="s">
        <v>20</v>
      </c>
      <c r="K53" s="268">
        <f t="shared" ref="K53:K55" si="22">L53-2</f>
        <v>45972</v>
      </c>
      <c r="L53" s="268">
        <v>45974</v>
      </c>
      <c r="M53" s="16" t="s">
        <v>20</v>
      </c>
      <c r="N53" s="16" t="s">
        <v>20</v>
      </c>
      <c r="O53" s="24" t="s">
        <v>739</v>
      </c>
      <c r="P53" s="35"/>
      <c r="Q53" s="24"/>
      <c r="R53" s="211"/>
      <c r="S53" s="15" t="s">
        <v>20</v>
      </c>
      <c r="T53" s="268">
        <v>46008</v>
      </c>
      <c r="U53" s="268">
        <v>46011</v>
      </c>
      <c r="V53" s="15" t="s">
        <v>20</v>
      </c>
      <c r="W53" s="268">
        <v>46012</v>
      </c>
      <c r="X53" s="26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398">
        <f t="shared" si="21"/>
        <v>45966</v>
      </c>
      <c r="I54" s="268">
        <v>45970</v>
      </c>
      <c r="J54" s="16" t="s">
        <v>20</v>
      </c>
      <c r="K54" s="268">
        <f t="shared" si="22"/>
        <v>45970</v>
      </c>
      <c r="L54" s="268">
        <v>45972</v>
      </c>
      <c r="M54" s="16" t="s">
        <v>20</v>
      </c>
      <c r="N54" s="16" t="s">
        <v>20</v>
      </c>
      <c r="O54" s="24" t="s">
        <v>739</v>
      </c>
      <c r="P54" s="35"/>
      <c r="Q54" s="24"/>
      <c r="R54" s="211"/>
      <c r="S54" s="15" t="s">
        <v>20</v>
      </c>
      <c r="T54" s="268">
        <v>46008</v>
      </c>
      <c r="U54" s="268">
        <v>46011</v>
      </c>
      <c r="V54" s="15" t="s">
        <v>20</v>
      </c>
      <c r="W54" s="268">
        <v>46012</v>
      </c>
      <c r="X54" s="26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398">
        <f t="shared" si="21"/>
        <v>45966</v>
      </c>
      <c r="I55" s="268">
        <v>45970</v>
      </c>
      <c r="J55" s="16" t="s">
        <v>20</v>
      </c>
      <c r="K55" s="268">
        <f t="shared" si="22"/>
        <v>45970</v>
      </c>
      <c r="L55" s="268">
        <v>45972</v>
      </c>
      <c r="M55" s="16" t="s">
        <v>20</v>
      </c>
      <c r="N55" s="16" t="s">
        <v>20</v>
      </c>
      <c r="O55" s="24" t="s">
        <v>739</v>
      </c>
      <c r="P55" s="35"/>
      <c r="Q55" s="24"/>
      <c r="R55" s="211"/>
      <c r="S55" s="15" t="s">
        <v>20</v>
      </c>
      <c r="T55" s="268">
        <v>46008</v>
      </c>
      <c r="U55" s="268">
        <v>46011</v>
      </c>
      <c r="V55" s="15" t="s">
        <v>20</v>
      </c>
      <c r="W55" s="268">
        <v>46012</v>
      </c>
      <c r="X55" s="26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246.8</v>
      </c>
      <c r="E56" s="16" t="s">
        <v>20</v>
      </c>
      <c r="F56" s="16" t="s">
        <v>20</v>
      </c>
      <c r="G56" s="16" t="s">
        <v>20</v>
      </c>
      <c r="H56" s="398">
        <v>45956</v>
      </c>
      <c r="I56" s="268">
        <f>H56+1</f>
        <v>45957</v>
      </c>
      <c r="J56" s="16" t="s">
        <v>20</v>
      </c>
      <c r="K56" s="268">
        <f>I56+1</f>
        <v>45958</v>
      </c>
      <c r="L56" s="268">
        <f t="shared" ref="L56:L57" si="23">K56+1</f>
        <v>45959</v>
      </c>
      <c r="M56" s="16" t="s">
        <v>20</v>
      </c>
      <c r="N56" s="16" t="s">
        <v>20</v>
      </c>
      <c r="O56" s="24" t="s">
        <v>739</v>
      </c>
      <c r="P56" s="35"/>
      <c r="Q56" s="24"/>
      <c r="R56" s="211"/>
      <c r="S56" s="15" t="s">
        <v>20</v>
      </c>
      <c r="T56" s="268">
        <v>46008</v>
      </c>
      <c r="U56" s="268">
        <v>46011</v>
      </c>
      <c r="V56" s="15" t="s">
        <v>20</v>
      </c>
      <c r="W56" s="268">
        <v>46012</v>
      </c>
      <c r="X56" s="26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1697.3</v>
      </c>
      <c r="E57" s="16" t="s">
        <v>20</v>
      </c>
      <c r="F57" s="16" t="s">
        <v>20</v>
      </c>
      <c r="G57" s="16" t="s">
        <v>20</v>
      </c>
      <c r="H57" s="398">
        <f>I57-4</f>
        <v>45926</v>
      </c>
      <c r="I57" s="268">
        <v>45930</v>
      </c>
      <c r="J57" s="16" t="s">
        <v>20</v>
      </c>
      <c r="K57" s="268">
        <v>45956</v>
      </c>
      <c r="L57" s="268">
        <f t="shared" si="23"/>
        <v>45957</v>
      </c>
      <c r="M57" s="16" t="s">
        <v>20</v>
      </c>
      <c r="N57" s="16" t="s">
        <v>20</v>
      </c>
      <c r="O57" s="24" t="s">
        <v>739</v>
      </c>
      <c r="P57" s="35"/>
      <c r="Q57" s="24"/>
      <c r="R57" s="211"/>
      <c r="S57" s="15" t="s">
        <v>20</v>
      </c>
      <c r="T57" s="268">
        <v>46008</v>
      </c>
      <c r="U57" s="268">
        <v>46011</v>
      </c>
      <c r="V57" s="15" t="s">
        <v>20</v>
      </c>
      <c r="W57" s="268">
        <v>46012</v>
      </c>
      <c r="X57" s="26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398">
        <f t="shared" ref="H58:H59" si="24">I58-2</f>
        <v>45940</v>
      </c>
      <c r="I58" s="268">
        <v>45942</v>
      </c>
      <c r="J58" s="16" t="s">
        <v>20</v>
      </c>
      <c r="K58" s="268">
        <f t="shared" ref="K58:K60" si="25">L58-2</f>
        <v>45942</v>
      </c>
      <c r="L58" s="268">
        <v>45944</v>
      </c>
      <c r="M58" s="16" t="s">
        <v>20</v>
      </c>
      <c r="N58" s="16" t="s">
        <v>20</v>
      </c>
      <c r="O58" s="24" t="s">
        <v>739</v>
      </c>
      <c r="P58" s="35"/>
      <c r="Q58" s="24"/>
      <c r="R58" s="211"/>
      <c r="S58" s="15" t="s">
        <v>20</v>
      </c>
      <c r="T58" s="268">
        <v>46017</v>
      </c>
      <c r="U58" s="268">
        <v>46018</v>
      </c>
      <c r="V58" s="15" t="s">
        <v>20</v>
      </c>
      <c r="W58" s="268">
        <v>46019</v>
      </c>
      <c r="X58" s="26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398">
        <f t="shared" si="24"/>
        <v>45940</v>
      </c>
      <c r="I59" s="268">
        <v>45942</v>
      </c>
      <c r="J59" s="16" t="s">
        <v>20</v>
      </c>
      <c r="K59" s="268">
        <f t="shared" si="25"/>
        <v>45942</v>
      </c>
      <c r="L59" s="268">
        <v>45944</v>
      </c>
      <c r="M59" s="16" t="s">
        <v>20</v>
      </c>
      <c r="N59" s="16" t="s">
        <v>20</v>
      </c>
      <c r="O59" s="24" t="s">
        <v>739</v>
      </c>
      <c r="P59" s="25"/>
      <c r="Q59" s="24"/>
      <c r="R59" s="211"/>
      <c r="S59" s="15" t="s">
        <v>20</v>
      </c>
      <c r="T59" s="268">
        <v>46017</v>
      </c>
      <c r="U59" s="268">
        <v>46018</v>
      </c>
      <c r="V59" s="15" t="s">
        <v>20</v>
      </c>
      <c r="W59" s="268">
        <v>46019</v>
      </c>
      <c r="X59" s="26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398">
        <f>I60</f>
        <v>45931</v>
      </c>
      <c r="I60" s="268">
        <v>45931</v>
      </c>
      <c r="J60" s="16" t="s">
        <v>20</v>
      </c>
      <c r="K60" s="268">
        <f t="shared" si="25"/>
        <v>45938</v>
      </c>
      <c r="L60" s="268">
        <v>45940</v>
      </c>
      <c r="M60" s="16" t="s">
        <v>20</v>
      </c>
      <c r="N60" s="16" t="s">
        <v>20</v>
      </c>
      <c r="O60" s="24" t="s">
        <v>739</v>
      </c>
      <c r="P60" s="25"/>
      <c r="Q60" s="24"/>
      <c r="R60" s="211"/>
      <c r="S60" s="15" t="s">
        <v>20</v>
      </c>
      <c r="T60" s="268">
        <v>46017</v>
      </c>
      <c r="U60" s="268">
        <v>46018</v>
      </c>
      <c r="V60" s="15" t="s">
        <v>20</v>
      </c>
      <c r="W60" s="268">
        <v>46019</v>
      </c>
      <c r="X60" s="26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398">
        <v>46009</v>
      </c>
      <c r="I61" s="268">
        <v>46011</v>
      </c>
      <c r="J61" s="16" t="s">
        <v>20</v>
      </c>
      <c r="K61" s="268">
        <v>46015</v>
      </c>
      <c r="L61" s="268">
        <v>46018</v>
      </c>
      <c r="M61" s="16" t="s">
        <v>20</v>
      </c>
      <c r="N61" s="16" t="s">
        <v>20</v>
      </c>
      <c r="O61" s="24" t="s">
        <v>739</v>
      </c>
      <c r="P61" s="25"/>
      <c r="Q61" s="24"/>
      <c r="R61" s="211"/>
      <c r="S61" s="15" t="s">
        <v>20</v>
      </c>
      <c r="T61" s="268">
        <v>46017</v>
      </c>
      <c r="U61" s="268">
        <v>46018</v>
      </c>
      <c r="V61" s="15" t="s">
        <v>20</v>
      </c>
      <c r="W61" s="268">
        <v>46019</v>
      </c>
      <c r="X61" s="26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398">
        <v>46009</v>
      </c>
      <c r="I62" s="268">
        <v>46011</v>
      </c>
      <c r="J62" s="16" t="s">
        <v>20</v>
      </c>
      <c r="K62" s="268">
        <v>46015</v>
      </c>
      <c r="L62" s="268">
        <v>46018</v>
      </c>
      <c r="M62" s="16" t="s">
        <v>20</v>
      </c>
      <c r="N62" s="16" t="s">
        <v>20</v>
      </c>
      <c r="O62" s="24" t="s">
        <v>739</v>
      </c>
      <c r="P62" s="25"/>
      <c r="Q62" s="24"/>
      <c r="R62" s="211"/>
      <c r="S62" s="15" t="s">
        <v>20</v>
      </c>
      <c r="T62" s="268">
        <v>46017</v>
      </c>
      <c r="U62" s="268">
        <v>46018</v>
      </c>
      <c r="V62" s="15" t="s">
        <v>20</v>
      </c>
      <c r="W62" s="268">
        <v>46019</v>
      </c>
      <c r="X62" s="26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398">
        <v>46009</v>
      </c>
      <c r="I63" s="268">
        <v>46011</v>
      </c>
      <c r="J63" s="16" t="s">
        <v>20</v>
      </c>
      <c r="K63" s="268">
        <v>46012</v>
      </c>
      <c r="L63" s="268">
        <v>46018</v>
      </c>
      <c r="M63" s="16" t="s">
        <v>20</v>
      </c>
      <c r="N63" s="16" t="s">
        <v>20</v>
      </c>
      <c r="O63" s="24" t="s">
        <v>739</v>
      </c>
      <c r="P63" s="25"/>
      <c r="Q63" s="24"/>
      <c r="R63" s="211"/>
      <c r="S63" s="15" t="s">
        <v>20</v>
      </c>
      <c r="T63" s="268">
        <v>46017</v>
      </c>
      <c r="U63" s="268">
        <v>46018</v>
      </c>
      <c r="V63" s="15" t="s">
        <v>20</v>
      </c>
      <c r="W63" s="268">
        <v>46019</v>
      </c>
      <c r="X63" s="26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2536.1999999999998</v>
      </c>
      <c r="E64" s="16" t="s">
        <v>20</v>
      </c>
      <c r="F64" s="16" t="s">
        <v>20</v>
      </c>
      <c r="G64" s="16" t="s">
        <v>20</v>
      </c>
      <c r="H64" s="398">
        <v>46004</v>
      </c>
      <c r="I64" s="268">
        <v>46006</v>
      </c>
      <c r="J64" s="16" t="s">
        <v>20</v>
      </c>
      <c r="K64" s="268">
        <v>46013</v>
      </c>
      <c r="L64" s="268">
        <v>46014</v>
      </c>
      <c r="M64" s="16" t="s">
        <v>20</v>
      </c>
      <c r="N64" s="16" t="s">
        <v>20</v>
      </c>
      <c r="O64" s="24" t="s">
        <v>739</v>
      </c>
      <c r="P64" s="25"/>
      <c r="Q64" s="24"/>
      <c r="R64" s="211"/>
      <c r="S64" s="15" t="s">
        <v>20</v>
      </c>
      <c r="T64" s="268">
        <v>46013</v>
      </c>
      <c r="U64" s="268">
        <v>46015</v>
      </c>
      <c r="V64" s="15" t="s">
        <v>20</v>
      </c>
      <c r="W64" s="268">
        <v>46016</v>
      </c>
      <c r="X64" s="26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398">
        <v>45825</v>
      </c>
      <c r="I65" s="268">
        <v>45833</v>
      </c>
      <c r="J65" s="16" t="s">
        <v>20</v>
      </c>
      <c r="K65" s="268">
        <v>45828</v>
      </c>
      <c r="L65" s="268">
        <v>45837</v>
      </c>
      <c r="M65" s="16" t="s">
        <v>20</v>
      </c>
      <c r="N65" s="16" t="s">
        <v>20</v>
      </c>
      <c r="O65" s="24" t="s">
        <v>617</v>
      </c>
      <c r="P65" s="25"/>
      <c r="Q65" s="24"/>
      <c r="R65" s="211"/>
      <c r="S65" s="16" t="s">
        <v>20</v>
      </c>
      <c r="T65" s="268">
        <f t="shared" ref="T65:T67" si="26">U65-2</f>
        <v>45928</v>
      </c>
      <c r="U65" s="268">
        <f t="shared" ref="U65:U67" si="27">W65-1</f>
        <v>45930</v>
      </c>
      <c r="V65" s="16" t="s">
        <v>20</v>
      </c>
      <c r="W65" s="268">
        <f t="shared" ref="W65:W66" si="28">X65-1</f>
        <v>45931</v>
      </c>
      <c r="X65" s="268">
        <f t="shared" ref="X65:X66" si="29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398">
        <v>45838</v>
      </c>
      <c r="I66" s="268">
        <v>45844</v>
      </c>
      <c r="J66" s="16" t="s">
        <v>20</v>
      </c>
      <c r="K66" s="268">
        <v>45846</v>
      </c>
      <c r="L66" s="268">
        <v>45849</v>
      </c>
      <c r="M66" s="16" t="s">
        <v>20</v>
      </c>
      <c r="N66" s="16" t="s">
        <v>20</v>
      </c>
      <c r="O66" s="24" t="s">
        <v>739</v>
      </c>
      <c r="P66" s="25"/>
      <c r="Q66" s="24"/>
      <c r="R66" s="211"/>
      <c r="S66" s="16" t="s">
        <v>20</v>
      </c>
      <c r="T66" s="268">
        <f t="shared" si="26"/>
        <v>45930</v>
      </c>
      <c r="U66" s="268">
        <f t="shared" si="27"/>
        <v>45932</v>
      </c>
      <c r="V66" s="16" t="s">
        <v>20</v>
      </c>
      <c r="W66" s="268">
        <f t="shared" si="28"/>
        <v>45933</v>
      </c>
      <c r="X66" s="268">
        <f t="shared" si="29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398">
        <v>45838</v>
      </c>
      <c r="I67" s="268">
        <v>45844</v>
      </c>
      <c r="J67" s="16" t="s">
        <v>20</v>
      </c>
      <c r="K67" s="268">
        <v>45846</v>
      </c>
      <c r="L67" s="268">
        <v>45849</v>
      </c>
      <c r="M67" s="16" t="s">
        <v>20</v>
      </c>
      <c r="N67" s="16" t="s">
        <v>20</v>
      </c>
      <c r="O67" s="24" t="s">
        <v>739</v>
      </c>
      <c r="P67" s="25"/>
      <c r="Q67" s="25"/>
      <c r="R67" s="213"/>
      <c r="S67" s="16" t="s">
        <v>20</v>
      </c>
      <c r="T67" s="268">
        <f t="shared" si="26"/>
        <v>45932</v>
      </c>
      <c r="U67" s="268">
        <f t="shared" si="27"/>
        <v>45934</v>
      </c>
      <c r="V67" s="16" t="s">
        <v>20</v>
      </c>
      <c r="W67" s="268">
        <f>X67-2</f>
        <v>45935</v>
      </c>
      <c r="X67" s="26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398">
        <v>45852</v>
      </c>
      <c r="I68" s="268">
        <v>45853</v>
      </c>
      <c r="J68" s="16" t="s">
        <v>20</v>
      </c>
      <c r="K68" s="268">
        <v>45854</v>
      </c>
      <c r="L68" s="268">
        <v>45856</v>
      </c>
      <c r="M68" s="16" t="s">
        <v>20</v>
      </c>
      <c r="N68" s="16" t="s">
        <v>20</v>
      </c>
      <c r="O68" s="24" t="s">
        <v>739</v>
      </c>
      <c r="P68" s="25"/>
      <c r="Q68" s="25"/>
      <c r="R68" s="213"/>
      <c r="S68" s="16" t="s">
        <v>20</v>
      </c>
      <c r="T68" s="268">
        <v>45938</v>
      </c>
      <c r="U68" s="268">
        <f>T68+1</f>
        <v>45939</v>
      </c>
      <c r="V68" s="16" t="s">
        <v>20</v>
      </c>
      <c r="W68" s="268">
        <f>U68+1</f>
        <v>45940</v>
      </c>
      <c r="X68" s="26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398">
        <v>45858</v>
      </c>
      <c r="I69" s="268">
        <v>45859</v>
      </c>
      <c r="J69" s="16" t="s">
        <v>20</v>
      </c>
      <c r="K69" s="268">
        <v>45859</v>
      </c>
      <c r="L69" s="268">
        <v>45860</v>
      </c>
      <c r="M69" s="16" t="s">
        <v>20</v>
      </c>
      <c r="N69" s="16" t="s">
        <v>20</v>
      </c>
      <c r="O69" s="24" t="s">
        <v>739</v>
      </c>
      <c r="P69" s="25"/>
      <c r="Q69" s="25"/>
      <c r="R69" s="213"/>
      <c r="S69" s="16" t="s">
        <v>20</v>
      </c>
      <c r="T69" s="268">
        <v>45998</v>
      </c>
      <c r="U69" s="268">
        <f>T69+1</f>
        <v>45999</v>
      </c>
      <c r="V69" s="16" t="s">
        <v>20</v>
      </c>
      <c r="W69" s="268">
        <v>45999</v>
      </c>
      <c r="X69" s="26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69">
        <f>I70-2</f>
        <v>45860</v>
      </c>
      <c r="I70" s="268">
        <v>45862</v>
      </c>
      <c r="J70" s="16" t="s">
        <v>20</v>
      </c>
      <c r="K70" s="268">
        <v>45863</v>
      </c>
      <c r="L70" s="268">
        <v>45865</v>
      </c>
      <c r="M70" s="16" t="s">
        <v>20</v>
      </c>
      <c r="N70" s="16" t="s">
        <v>20</v>
      </c>
      <c r="O70" s="24" t="s">
        <v>739</v>
      </c>
      <c r="P70" s="25"/>
      <c r="Q70" s="25"/>
      <c r="R70" s="213"/>
      <c r="S70" s="16" t="s">
        <v>20</v>
      </c>
      <c r="T70" s="268">
        <v>45998</v>
      </c>
      <c r="U70" s="268">
        <f>T70+1</f>
        <v>45999</v>
      </c>
      <c r="V70" s="16" t="s">
        <v>20</v>
      </c>
      <c r="W70" s="268">
        <v>45999</v>
      </c>
      <c r="X70" s="26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398">
        <v>45873</v>
      </c>
      <c r="I71" s="268">
        <v>45881</v>
      </c>
      <c r="J71" s="16" t="s">
        <v>20</v>
      </c>
      <c r="K71" s="268">
        <v>45887</v>
      </c>
      <c r="L71" s="268">
        <f>K71+4</f>
        <v>45891</v>
      </c>
      <c r="M71" s="16" t="s">
        <v>20</v>
      </c>
      <c r="N71" s="16" t="s">
        <v>20</v>
      </c>
      <c r="O71" s="24" t="s">
        <v>739</v>
      </c>
      <c r="P71" s="25"/>
      <c r="Q71" s="25"/>
      <c r="R71" s="213"/>
      <c r="S71" s="214" t="s">
        <v>20</v>
      </c>
      <c r="T71" s="272">
        <v>45987</v>
      </c>
      <c r="U71" s="268">
        <v>45988</v>
      </c>
      <c r="V71" s="214" t="s">
        <v>20</v>
      </c>
      <c r="W71" s="268">
        <v>45988</v>
      </c>
      <c r="X71" s="268">
        <v>45988</v>
      </c>
      <c r="Y71" s="24"/>
    </row>
    <row r="72" spans="1:25" ht="14.25" customHeight="1">
      <c r="A72" s="15">
        <f t="shared" ref="A72:A135" si="30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398">
        <f>I72-4</f>
        <v>45877</v>
      </c>
      <c r="I72" s="268">
        <v>45881</v>
      </c>
      <c r="J72" s="16" t="s">
        <v>20</v>
      </c>
      <c r="K72" s="268">
        <v>45907</v>
      </c>
      <c r="L72" s="268">
        <v>45908</v>
      </c>
      <c r="M72" s="16" t="s">
        <v>20</v>
      </c>
      <c r="N72" s="16" t="s">
        <v>20</v>
      </c>
      <c r="O72" s="24" t="s">
        <v>739</v>
      </c>
      <c r="P72" s="25"/>
      <c r="Q72" s="24"/>
      <c r="R72" s="211"/>
      <c r="S72" s="214" t="s">
        <v>20</v>
      </c>
      <c r="T72" s="268">
        <v>46001</v>
      </c>
      <c r="U72" s="268">
        <v>46004</v>
      </c>
      <c r="V72" s="214" t="s">
        <v>20</v>
      </c>
      <c r="W72" s="268">
        <v>46005</v>
      </c>
      <c r="X72" s="268">
        <v>46006</v>
      </c>
      <c r="Y72" s="24"/>
    </row>
    <row r="73" spans="1:25" ht="14.25" customHeight="1">
      <c r="A73" s="15">
        <f t="shared" si="30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398">
        <v>45904</v>
      </c>
      <c r="I73" s="268">
        <v>45906</v>
      </c>
      <c r="J73" s="16" t="s">
        <v>20</v>
      </c>
      <c r="K73" s="268">
        <f>K72</f>
        <v>45907</v>
      </c>
      <c r="L73" s="268">
        <v>45908</v>
      </c>
      <c r="M73" s="16" t="s">
        <v>20</v>
      </c>
      <c r="N73" s="16" t="s">
        <v>20</v>
      </c>
      <c r="O73" s="24" t="s">
        <v>739</v>
      </c>
      <c r="P73" s="25"/>
      <c r="Q73" s="24"/>
      <c r="R73" s="211"/>
      <c r="S73" s="214" t="s">
        <v>20</v>
      </c>
      <c r="T73" s="268">
        <v>46001</v>
      </c>
      <c r="U73" s="268">
        <v>46004</v>
      </c>
      <c r="V73" s="214" t="s">
        <v>20</v>
      </c>
      <c r="W73" s="268">
        <v>46005</v>
      </c>
      <c r="X73" s="268">
        <v>46006</v>
      </c>
      <c r="Y73" s="24"/>
    </row>
    <row r="74" spans="1:25" ht="14.25" customHeight="1">
      <c r="A74" s="15">
        <f t="shared" si="30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398">
        <f>I74</f>
        <v>45934</v>
      </c>
      <c r="I74" s="268">
        <v>45934</v>
      </c>
      <c r="J74" s="16" t="s">
        <v>20</v>
      </c>
      <c r="K74" s="268">
        <f>L74</f>
        <v>45934</v>
      </c>
      <c r="L74" s="268">
        <v>45934</v>
      </c>
      <c r="M74" s="16" t="s">
        <v>20</v>
      </c>
      <c r="N74" s="16" t="s">
        <v>20</v>
      </c>
      <c r="O74" s="24" t="s">
        <v>739</v>
      </c>
      <c r="P74" s="25"/>
      <c r="Q74" s="24" t="s">
        <v>421</v>
      </c>
      <c r="R74" s="211"/>
      <c r="S74" s="214" t="s">
        <v>20</v>
      </c>
      <c r="T74" s="268">
        <v>46001</v>
      </c>
      <c r="U74" s="268">
        <v>46004</v>
      </c>
      <c r="V74" s="214" t="s">
        <v>20</v>
      </c>
      <c r="W74" s="268">
        <v>46005</v>
      </c>
      <c r="X74" s="268">
        <v>46006</v>
      </c>
      <c r="Y74" s="24"/>
    </row>
    <row r="75" spans="1:25" ht="14.25" customHeight="1">
      <c r="A75" s="15">
        <f t="shared" si="30"/>
        <v>70</v>
      </c>
      <c r="B75" s="15" t="str">
        <f t="shared" si="2"/>
        <v>AP-25</v>
      </c>
      <c r="C75" s="15" t="s">
        <v>262</v>
      </c>
      <c r="D75" s="16">
        <v>178.3</v>
      </c>
      <c r="E75" s="16" t="s">
        <v>20</v>
      </c>
      <c r="F75" s="16" t="s">
        <v>20</v>
      </c>
      <c r="G75" s="16" t="s">
        <v>20</v>
      </c>
      <c r="H75" s="398">
        <f>I75-2</f>
        <v>45913</v>
      </c>
      <c r="I75" s="268">
        <v>45915</v>
      </c>
      <c r="J75" s="16" t="s">
        <v>20</v>
      </c>
      <c r="K75" s="268">
        <f>L75-1</f>
        <v>45915</v>
      </c>
      <c r="L75" s="268">
        <v>45916</v>
      </c>
      <c r="M75" s="16" t="s">
        <v>20</v>
      </c>
      <c r="N75" s="16" t="s">
        <v>20</v>
      </c>
      <c r="O75" s="24" t="s">
        <v>739</v>
      </c>
      <c r="P75" s="25"/>
      <c r="Q75" s="24"/>
      <c r="R75" s="211"/>
      <c r="S75" s="214" t="s">
        <v>20</v>
      </c>
      <c r="T75" s="268">
        <v>46001</v>
      </c>
      <c r="U75" s="268">
        <v>46004</v>
      </c>
      <c r="V75" s="214" t="s">
        <v>20</v>
      </c>
      <c r="W75" s="268">
        <v>46005</v>
      </c>
      <c r="X75" s="268">
        <v>46006</v>
      </c>
      <c r="Y75" s="24"/>
    </row>
    <row r="76" spans="1:25" ht="14.25" customHeight="1">
      <c r="A76" s="15">
        <f t="shared" si="30"/>
        <v>71</v>
      </c>
      <c r="B76" s="15" t="str">
        <f t="shared" si="2"/>
        <v>AP-26</v>
      </c>
      <c r="C76" s="15" t="s">
        <v>264</v>
      </c>
      <c r="D76" s="16">
        <v>148.4</v>
      </c>
      <c r="E76" s="16" t="s">
        <v>20</v>
      </c>
      <c r="F76" s="16" t="s">
        <v>20</v>
      </c>
      <c r="G76" s="16" t="s">
        <v>20</v>
      </c>
      <c r="H76" s="398">
        <f>I76</f>
        <v>45936</v>
      </c>
      <c r="I76" s="268">
        <v>45936</v>
      </c>
      <c r="J76" s="16" t="s">
        <v>20</v>
      </c>
      <c r="K76" s="268">
        <f>L76</f>
        <v>45936</v>
      </c>
      <c r="L76" s="268">
        <v>45936</v>
      </c>
      <c r="M76" s="16" t="s">
        <v>20</v>
      </c>
      <c r="N76" s="16" t="s">
        <v>20</v>
      </c>
      <c r="O76" s="24" t="s">
        <v>739</v>
      </c>
      <c r="P76" s="25"/>
      <c r="Q76" s="24" t="s">
        <v>421</v>
      </c>
      <c r="R76" s="211"/>
      <c r="S76" s="214" t="s">
        <v>20</v>
      </c>
      <c r="T76" s="268">
        <v>46001</v>
      </c>
      <c r="U76" s="268">
        <v>46004</v>
      </c>
      <c r="V76" s="214" t="s">
        <v>20</v>
      </c>
      <c r="W76" s="268">
        <v>46005</v>
      </c>
      <c r="X76" s="268">
        <v>46006</v>
      </c>
      <c r="Y76" s="24"/>
    </row>
    <row r="77" spans="1:25" ht="14.25" customHeight="1">
      <c r="A77" s="15">
        <f t="shared" si="30"/>
        <v>72</v>
      </c>
      <c r="B77" s="15" t="str">
        <f t="shared" si="2"/>
        <v>AP-27</v>
      </c>
      <c r="C77" s="15" t="s">
        <v>266</v>
      </c>
      <c r="D77" s="16">
        <v>61.2</v>
      </c>
      <c r="E77" s="16" t="s">
        <v>20</v>
      </c>
      <c r="F77" s="16" t="s">
        <v>20</v>
      </c>
      <c r="G77" s="16" t="s">
        <v>20</v>
      </c>
      <c r="H77" s="398">
        <v>45963</v>
      </c>
      <c r="I77" s="268">
        <v>45963</v>
      </c>
      <c r="J77" s="16" t="s">
        <v>20</v>
      </c>
      <c r="K77" s="268">
        <v>45994</v>
      </c>
      <c r="L77" s="268">
        <v>45996</v>
      </c>
      <c r="M77" s="16" t="s">
        <v>20</v>
      </c>
      <c r="N77" s="16" t="s">
        <v>20</v>
      </c>
      <c r="O77" s="24" t="s">
        <v>739</v>
      </c>
      <c r="P77" s="25"/>
      <c r="Q77" s="24" t="s">
        <v>421</v>
      </c>
      <c r="R77" s="211"/>
      <c r="S77" s="214" t="s">
        <v>20</v>
      </c>
      <c r="T77" s="268">
        <v>46001</v>
      </c>
      <c r="U77" s="268">
        <v>46004</v>
      </c>
      <c r="V77" s="214" t="s">
        <v>20</v>
      </c>
      <c r="W77" s="268">
        <v>46005</v>
      </c>
      <c r="X77" s="268">
        <v>46006</v>
      </c>
      <c r="Y77" s="24"/>
    </row>
    <row r="78" spans="1:25" ht="14.25" customHeight="1">
      <c r="A78" s="15">
        <f t="shared" si="30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398">
        <v>45963</v>
      </c>
      <c r="I78" s="268">
        <v>45963</v>
      </c>
      <c r="J78" s="16" t="s">
        <v>20</v>
      </c>
      <c r="K78" s="268">
        <v>45994</v>
      </c>
      <c r="L78" s="268">
        <v>45996</v>
      </c>
      <c r="M78" s="16" t="s">
        <v>20</v>
      </c>
      <c r="N78" s="16" t="s">
        <v>20</v>
      </c>
      <c r="O78" s="24" t="s">
        <v>739</v>
      </c>
      <c r="P78" s="25"/>
      <c r="Q78" s="24"/>
      <c r="R78" s="211"/>
      <c r="S78" s="214" t="s">
        <v>20</v>
      </c>
      <c r="T78" s="268">
        <v>46001</v>
      </c>
      <c r="U78" s="268">
        <v>46004</v>
      </c>
      <c r="V78" s="214" t="s">
        <v>20</v>
      </c>
      <c r="W78" s="268">
        <v>46005</v>
      </c>
      <c r="X78" s="268">
        <v>46006</v>
      </c>
      <c r="Y78" s="24"/>
    </row>
    <row r="79" spans="1:25" ht="14.25" customHeight="1">
      <c r="A79" s="15">
        <f t="shared" si="30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398">
        <v>45963</v>
      </c>
      <c r="I79" s="268">
        <v>45963</v>
      </c>
      <c r="J79" s="16" t="s">
        <v>20</v>
      </c>
      <c r="K79" s="268">
        <v>45994</v>
      </c>
      <c r="L79" s="268">
        <v>45996</v>
      </c>
      <c r="M79" s="16" t="s">
        <v>20</v>
      </c>
      <c r="N79" s="16" t="s">
        <v>20</v>
      </c>
      <c r="O79" s="24" t="s">
        <v>739</v>
      </c>
      <c r="P79" s="25"/>
      <c r="Q79" s="24"/>
      <c r="R79" s="211"/>
      <c r="S79" s="214" t="s">
        <v>20</v>
      </c>
      <c r="T79" s="268">
        <v>46001</v>
      </c>
      <c r="U79" s="268">
        <v>46004</v>
      </c>
      <c r="V79" s="214" t="s">
        <v>20</v>
      </c>
      <c r="W79" s="268">
        <v>46005</v>
      </c>
      <c r="X79" s="268">
        <v>46006</v>
      </c>
      <c r="Y79" s="24"/>
    </row>
    <row r="80" spans="1:25" ht="14.25" customHeight="1">
      <c r="A80" s="15">
        <f t="shared" si="30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398">
        <f t="shared" ref="H80:H81" si="31">I80</f>
        <v>45916</v>
      </c>
      <c r="I80" s="268">
        <v>45916</v>
      </c>
      <c r="J80" s="16" t="s">
        <v>20</v>
      </c>
      <c r="K80" s="268">
        <f t="shared" ref="K80:K81" si="32">L80</f>
        <v>45917</v>
      </c>
      <c r="L80" s="268">
        <v>45917</v>
      </c>
      <c r="M80" s="16" t="s">
        <v>20</v>
      </c>
      <c r="N80" s="16" t="s">
        <v>20</v>
      </c>
      <c r="O80" s="24" t="s">
        <v>739</v>
      </c>
      <c r="P80" s="25"/>
      <c r="Q80" s="24"/>
      <c r="R80" s="211"/>
      <c r="S80" s="214" t="s">
        <v>20</v>
      </c>
      <c r="T80" s="268">
        <v>46001</v>
      </c>
      <c r="U80" s="268">
        <v>46004</v>
      </c>
      <c r="V80" s="214" t="s">
        <v>20</v>
      </c>
      <c r="W80" s="268">
        <v>46005</v>
      </c>
      <c r="X80" s="268">
        <v>46006</v>
      </c>
      <c r="Y80" s="24"/>
    </row>
    <row r="81" spans="1:25" ht="14.25" customHeight="1">
      <c r="A81" s="15">
        <f t="shared" si="30"/>
        <v>76</v>
      </c>
      <c r="B81" s="15" t="str">
        <f t="shared" si="2"/>
        <v>AP-29</v>
      </c>
      <c r="C81" s="15" t="s">
        <v>273</v>
      </c>
      <c r="D81" s="16">
        <v>344.5</v>
      </c>
      <c r="E81" s="16" t="s">
        <v>20</v>
      </c>
      <c r="F81" s="16" t="s">
        <v>20</v>
      </c>
      <c r="G81" s="16" t="s">
        <v>20</v>
      </c>
      <c r="H81" s="398">
        <f t="shared" si="31"/>
        <v>45915</v>
      </c>
      <c r="I81" s="268">
        <f>K81-1</f>
        <v>45915</v>
      </c>
      <c r="J81" s="16" t="s">
        <v>20</v>
      </c>
      <c r="K81" s="268">
        <f t="shared" si="32"/>
        <v>45916</v>
      </c>
      <c r="L81" s="268">
        <v>45916</v>
      </c>
      <c r="M81" s="16" t="s">
        <v>20</v>
      </c>
      <c r="N81" s="16" t="s">
        <v>20</v>
      </c>
      <c r="O81" s="24" t="s">
        <v>739</v>
      </c>
      <c r="P81" s="25"/>
      <c r="Q81" s="24"/>
      <c r="R81" s="211"/>
      <c r="S81" s="214" t="s">
        <v>20</v>
      </c>
      <c r="T81" s="268">
        <v>46001</v>
      </c>
      <c r="U81" s="268">
        <v>46004</v>
      </c>
      <c r="V81" s="214" t="s">
        <v>20</v>
      </c>
      <c r="W81" s="268">
        <v>46005</v>
      </c>
      <c r="X81" s="268">
        <v>46006</v>
      </c>
      <c r="Y81" s="24"/>
    </row>
    <row r="82" spans="1:25" ht="14.25" customHeight="1">
      <c r="A82" s="15">
        <f t="shared" si="30"/>
        <v>77</v>
      </c>
      <c r="B82" s="15" t="str">
        <f t="shared" si="2"/>
        <v>29A/0</v>
      </c>
      <c r="C82" s="15" t="s">
        <v>279</v>
      </c>
      <c r="D82" s="16">
        <v>1860.6</v>
      </c>
      <c r="E82" s="16" t="s">
        <v>20</v>
      </c>
      <c r="F82" s="16" t="s">
        <v>20</v>
      </c>
      <c r="G82" s="16" t="s">
        <v>20</v>
      </c>
      <c r="H82" s="398">
        <v>45854</v>
      </c>
      <c r="I82" s="268">
        <f>H82+4</f>
        <v>45858</v>
      </c>
      <c r="J82" s="16" t="s">
        <v>20</v>
      </c>
      <c r="K82" s="268">
        <f>L82-3</f>
        <v>45897</v>
      </c>
      <c r="L82" s="268">
        <v>45900</v>
      </c>
      <c r="M82" s="16" t="s">
        <v>20</v>
      </c>
      <c r="N82" s="16" t="s">
        <v>20</v>
      </c>
      <c r="O82" s="24" t="s">
        <v>739</v>
      </c>
      <c r="P82" s="25"/>
      <c r="Q82" s="24"/>
      <c r="R82" s="211"/>
      <c r="S82" s="214" t="s">
        <v>20</v>
      </c>
      <c r="T82" s="268">
        <v>45989</v>
      </c>
      <c r="U82" s="268">
        <v>45992</v>
      </c>
      <c r="V82" s="214" t="s">
        <v>20</v>
      </c>
      <c r="W82" s="268">
        <v>45989</v>
      </c>
      <c r="X82" s="268">
        <v>45992</v>
      </c>
      <c r="Y82" s="24"/>
    </row>
    <row r="83" spans="1:25" ht="14.25" customHeight="1">
      <c r="A83" s="15">
        <f t="shared" si="30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398">
        <v>45846</v>
      </c>
      <c r="I83" s="268">
        <f>H83+5</f>
        <v>45851</v>
      </c>
      <c r="J83" s="16" t="s">
        <v>20</v>
      </c>
      <c r="K83" s="268">
        <v>45854</v>
      </c>
      <c r="L83" s="268">
        <v>45860</v>
      </c>
      <c r="M83" s="16" t="s">
        <v>20</v>
      </c>
      <c r="N83" s="16" t="s">
        <v>20</v>
      </c>
      <c r="O83" s="24" t="s">
        <v>618</v>
      </c>
      <c r="P83" s="25"/>
      <c r="Q83" s="24"/>
      <c r="R83" s="211"/>
      <c r="S83" s="214" t="s">
        <v>20</v>
      </c>
      <c r="T83" s="268">
        <v>45989</v>
      </c>
      <c r="U83" s="268">
        <v>45992</v>
      </c>
      <c r="V83" s="214" t="s">
        <v>20</v>
      </c>
      <c r="W83" s="268">
        <v>45989</v>
      </c>
      <c r="X83" s="268">
        <v>45992</v>
      </c>
      <c r="Y83" s="24"/>
    </row>
    <row r="84" spans="1:25" ht="14.25" customHeight="1">
      <c r="A84" s="15">
        <f t="shared" si="30"/>
        <v>79</v>
      </c>
      <c r="B84" s="15" t="str">
        <f t="shared" si="2"/>
        <v>AP-31</v>
      </c>
      <c r="C84" s="15" t="s">
        <v>290</v>
      </c>
      <c r="D84" s="16">
        <v>743.35</v>
      </c>
      <c r="E84" s="16" t="s">
        <v>20</v>
      </c>
      <c r="F84" s="16" t="s">
        <v>20</v>
      </c>
      <c r="G84" s="16" t="s">
        <v>20</v>
      </c>
      <c r="H84" s="269">
        <v>46177</v>
      </c>
      <c r="I84" s="269">
        <v>46178</v>
      </c>
      <c r="J84" s="16" t="s">
        <v>20</v>
      </c>
      <c r="K84" s="268">
        <v>46179</v>
      </c>
      <c r="L84" s="268">
        <v>46180</v>
      </c>
      <c r="M84" s="16" t="s">
        <v>20</v>
      </c>
      <c r="N84" s="16" t="s">
        <v>20</v>
      </c>
      <c r="O84" s="24" t="s">
        <v>763</v>
      </c>
      <c r="P84" s="25"/>
      <c r="Q84" s="24"/>
      <c r="R84" s="211"/>
      <c r="S84" s="214" t="s">
        <v>20</v>
      </c>
      <c r="T84" s="268"/>
      <c r="U84" s="268"/>
      <c r="V84" s="214" t="s">
        <v>20</v>
      </c>
      <c r="W84" s="268"/>
      <c r="X84" s="268"/>
      <c r="Y84" s="24"/>
    </row>
    <row r="85" spans="1:25" ht="14.25" customHeight="1">
      <c r="A85" s="15">
        <f t="shared" si="30"/>
        <v>80</v>
      </c>
      <c r="B85" s="15" t="str">
        <f t="shared" si="2"/>
        <v>AP-32</v>
      </c>
      <c r="C85" s="15" t="s">
        <v>294</v>
      </c>
      <c r="D85" s="16">
        <v>283.10000000000002</v>
      </c>
      <c r="E85" s="16" t="s">
        <v>20</v>
      </c>
      <c r="F85" s="16" t="s">
        <v>20</v>
      </c>
      <c r="G85" s="16" t="s">
        <v>20</v>
      </c>
      <c r="H85" s="268">
        <v>46181</v>
      </c>
      <c r="I85" s="268">
        <v>46181</v>
      </c>
      <c r="J85" s="16" t="s">
        <v>20</v>
      </c>
      <c r="K85" s="268">
        <v>46182</v>
      </c>
      <c r="L85" s="268">
        <v>46182</v>
      </c>
      <c r="M85" s="16" t="s">
        <v>20</v>
      </c>
      <c r="N85" s="16" t="s">
        <v>20</v>
      </c>
      <c r="O85" s="24"/>
      <c r="P85" s="25"/>
      <c r="Q85" s="24"/>
      <c r="R85" s="211"/>
      <c r="S85" s="214" t="s">
        <v>20</v>
      </c>
      <c r="T85" s="268"/>
      <c r="U85" s="268"/>
      <c r="V85" s="214" t="s">
        <v>20</v>
      </c>
      <c r="W85" s="268"/>
      <c r="X85" s="268"/>
      <c r="Y85" s="24"/>
    </row>
    <row r="86" spans="1:25" ht="14.25" customHeight="1">
      <c r="A86" s="15">
        <f t="shared" si="30"/>
        <v>81</v>
      </c>
      <c r="B86" s="15" t="str">
        <f t="shared" si="2"/>
        <v>33/0</v>
      </c>
      <c r="C86" s="15" t="s">
        <v>295</v>
      </c>
      <c r="D86" s="16">
        <v>532</v>
      </c>
      <c r="E86" s="16" t="s">
        <v>20</v>
      </c>
      <c r="F86" s="16" t="s">
        <v>20</v>
      </c>
      <c r="G86" s="16" t="s">
        <v>20</v>
      </c>
      <c r="H86" s="269">
        <v>46174</v>
      </c>
      <c r="I86" s="269">
        <v>46178</v>
      </c>
      <c r="J86" s="16" t="s">
        <v>20</v>
      </c>
      <c r="K86" s="268">
        <v>46179</v>
      </c>
      <c r="L86" s="268">
        <v>46180</v>
      </c>
      <c r="M86" s="16" t="s">
        <v>20</v>
      </c>
      <c r="N86" s="16" t="s">
        <v>20</v>
      </c>
      <c r="O86" s="172" t="s">
        <v>764</v>
      </c>
      <c r="P86" s="25"/>
      <c r="Q86" s="24"/>
      <c r="R86" s="211"/>
      <c r="S86" s="214" t="s">
        <v>20</v>
      </c>
      <c r="T86" s="268"/>
      <c r="U86" s="268"/>
      <c r="V86" s="214" t="s">
        <v>20</v>
      </c>
      <c r="W86" s="268"/>
      <c r="X86" s="268"/>
      <c r="Y86" s="18"/>
    </row>
    <row r="87" spans="1:25" ht="14.25" customHeight="1">
      <c r="A87" s="15">
        <f t="shared" si="30"/>
        <v>82</v>
      </c>
      <c r="B87" s="15" t="str">
        <f t="shared" si="2"/>
        <v>34/0</v>
      </c>
      <c r="C87" s="15" t="s">
        <v>695</v>
      </c>
      <c r="D87" s="36">
        <v>207</v>
      </c>
      <c r="E87" s="16" t="s">
        <v>20</v>
      </c>
      <c r="F87" s="16" t="s">
        <v>20</v>
      </c>
      <c r="G87" s="16" t="s">
        <v>20</v>
      </c>
      <c r="H87" s="268">
        <v>46181</v>
      </c>
      <c r="I87" s="268">
        <v>46181</v>
      </c>
      <c r="J87" s="16" t="s">
        <v>20</v>
      </c>
      <c r="K87" s="268">
        <v>46182</v>
      </c>
      <c r="L87" s="268">
        <v>46184</v>
      </c>
      <c r="M87" s="24"/>
      <c r="N87" s="15"/>
      <c r="O87" s="172"/>
      <c r="P87" s="25"/>
      <c r="Q87" s="24"/>
      <c r="R87" s="211"/>
      <c r="S87" s="214" t="s">
        <v>20</v>
      </c>
      <c r="T87" s="268"/>
      <c r="U87" s="268"/>
      <c r="V87" s="214" t="s">
        <v>20</v>
      </c>
      <c r="W87" s="268"/>
      <c r="X87" s="268"/>
      <c r="Y87" s="18"/>
    </row>
    <row r="88" spans="1:25" ht="14.25" customHeight="1">
      <c r="A88" s="15">
        <f t="shared" si="30"/>
        <v>83</v>
      </c>
      <c r="B88" s="15" t="str">
        <f t="shared" ref="B88" si="33">C87</f>
        <v>35/0</v>
      </c>
      <c r="C88" s="15" t="s">
        <v>625</v>
      </c>
      <c r="D88" s="36">
        <v>80</v>
      </c>
      <c r="E88" s="16"/>
      <c r="F88" s="15"/>
      <c r="G88" s="15"/>
      <c r="H88" s="398"/>
      <c r="I88" s="268"/>
      <c r="J88" s="15"/>
      <c r="K88" s="268"/>
      <c r="L88" s="268"/>
      <c r="M88" s="15"/>
      <c r="N88" s="15"/>
      <c r="O88" s="100"/>
      <c r="P88" s="35"/>
      <c r="Q88" s="35"/>
      <c r="R88" s="212"/>
      <c r="S88" s="214" t="s">
        <v>20</v>
      </c>
      <c r="T88" s="268"/>
      <c r="U88" s="268"/>
      <c r="V88" s="214" t="s">
        <v>20</v>
      </c>
      <c r="W88" s="268"/>
      <c r="X88" s="268"/>
      <c r="Y88" s="18"/>
    </row>
    <row r="89" spans="1:25" ht="14.25" customHeight="1">
      <c r="A89" s="15">
        <f t="shared" si="30"/>
        <v>84</v>
      </c>
      <c r="B89" s="15"/>
      <c r="C89" s="15"/>
      <c r="D89" s="16"/>
      <c r="E89" s="16"/>
      <c r="F89" s="16"/>
      <c r="G89" s="16"/>
      <c r="H89" s="398"/>
      <c r="I89" s="268"/>
      <c r="J89" s="15"/>
      <c r="K89" s="268"/>
      <c r="L89" s="268"/>
      <c r="M89" s="24"/>
      <c r="N89" s="15"/>
      <c r="O89" s="172"/>
      <c r="P89" s="25"/>
      <c r="Q89" s="24"/>
      <c r="R89" s="211"/>
      <c r="S89" s="15"/>
      <c r="T89" s="268"/>
      <c r="U89" s="268"/>
      <c r="V89" s="15"/>
      <c r="W89" s="268"/>
      <c r="X89" s="268"/>
      <c r="Y89" s="18"/>
    </row>
    <row r="90" spans="1:25" ht="14.25" customHeight="1">
      <c r="A90" s="15">
        <f t="shared" si="30"/>
        <v>85</v>
      </c>
      <c r="B90" s="15"/>
      <c r="C90" s="15"/>
      <c r="D90" s="16"/>
      <c r="E90" s="16"/>
      <c r="F90" s="16"/>
      <c r="G90" s="16"/>
      <c r="H90" s="398"/>
      <c r="I90" s="268"/>
      <c r="J90" s="15"/>
      <c r="K90" s="268"/>
      <c r="L90" s="268"/>
      <c r="M90" s="24"/>
      <c r="N90" s="15"/>
      <c r="O90" s="172"/>
      <c r="P90" s="25"/>
      <c r="Q90" s="24"/>
      <c r="R90" s="211"/>
      <c r="S90" s="15"/>
      <c r="T90" s="268"/>
      <c r="U90" s="268"/>
      <c r="V90" s="15"/>
      <c r="W90" s="268"/>
      <c r="X90" s="268"/>
      <c r="Y90" s="18"/>
    </row>
    <row r="91" spans="1:25" ht="14.25" customHeight="1">
      <c r="A91" s="15">
        <f t="shared" si="30"/>
        <v>86</v>
      </c>
      <c r="B91" s="15"/>
      <c r="C91" s="15"/>
      <c r="D91" s="16"/>
      <c r="E91" s="16"/>
      <c r="F91" s="16"/>
      <c r="G91" s="16"/>
      <c r="H91" s="398"/>
      <c r="I91" s="268"/>
      <c r="J91" s="15"/>
      <c r="K91" s="268"/>
      <c r="L91" s="268"/>
      <c r="M91" s="24"/>
      <c r="N91" s="15"/>
      <c r="O91" s="172"/>
      <c r="P91" s="25"/>
      <c r="Q91" s="24"/>
      <c r="R91" s="211"/>
      <c r="S91" s="15"/>
      <c r="T91" s="268"/>
      <c r="U91" s="268"/>
      <c r="V91" s="15"/>
      <c r="W91" s="268"/>
      <c r="X91" s="268"/>
      <c r="Y91" s="18"/>
    </row>
    <row r="92" spans="1:25" ht="14.25" customHeight="1">
      <c r="A92" s="15">
        <f t="shared" si="30"/>
        <v>87</v>
      </c>
      <c r="B92" s="15"/>
      <c r="C92" s="15"/>
      <c r="D92" s="16"/>
      <c r="E92" s="16"/>
      <c r="F92" s="16"/>
      <c r="G92" s="16"/>
      <c r="H92" s="398"/>
      <c r="I92" s="268"/>
      <c r="J92" s="15"/>
      <c r="K92" s="268"/>
      <c r="L92" s="268"/>
      <c r="M92" s="24"/>
      <c r="N92" s="15"/>
      <c r="O92" s="172"/>
      <c r="P92" s="25"/>
      <c r="Q92" s="24"/>
      <c r="R92" s="211"/>
      <c r="S92" s="15"/>
      <c r="T92" s="268"/>
      <c r="U92" s="268"/>
      <c r="V92" s="15"/>
      <c r="W92" s="268"/>
      <c r="X92" s="268"/>
      <c r="Y92" s="18"/>
    </row>
    <row r="93" spans="1:25" ht="14.25" customHeight="1">
      <c r="A93" s="15">
        <f t="shared" si="30"/>
        <v>88</v>
      </c>
      <c r="B93" s="15"/>
      <c r="C93" s="15"/>
      <c r="D93" s="16"/>
      <c r="E93" s="16"/>
      <c r="F93" s="16"/>
      <c r="G93" s="16"/>
      <c r="H93" s="398"/>
      <c r="I93" s="268"/>
      <c r="J93" s="15"/>
      <c r="K93" s="268"/>
      <c r="L93" s="268"/>
      <c r="M93" s="24"/>
      <c r="N93" s="15"/>
      <c r="O93" s="24"/>
      <c r="P93" s="25"/>
      <c r="Q93" s="24"/>
      <c r="R93" s="211"/>
      <c r="S93" s="15"/>
      <c r="T93" s="268"/>
      <c r="U93" s="268"/>
      <c r="V93" s="15"/>
      <c r="W93" s="268"/>
      <c r="X93" s="268"/>
      <c r="Y93" s="18"/>
    </row>
    <row r="94" spans="1:25" ht="14.25" customHeight="1">
      <c r="A94" s="15">
        <f t="shared" si="30"/>
        <v>89</v>
      </c>
      <c r="B94" s="15"/>
      <c r="C94" s="15"/>
      <c r="D94" s="16"/>
      <c r="E94" s="16"/>
      <c r="F94" s="16"/>
      <c r="G94" s="16"/>
      <c r="H94" s="398"/>
      <c r="I94" s="268"/>
      <c r="J94" s="15"/>
      <c r="K94" s="268"/>
      <c r="L94" s="268"/>
      <c r="M94" s="24"/>
      <c r="N94" s="24"/>
      <c r="O94" s="24"/>
      <c r="P94" s="25"/>
      <c r="Q94" s="24"/>
      <c r="R94" s="211"/>
      <c r="S94" s="24"/>
      <c r="T94" s="268"/>
      <c r="U94" s="268"/>
      <c r="V94" s="24"/>
      <c r="W94" s="268"/>
      <c r="X94" s="268"/>
      <c r="Y94" s="24"/>
    </row>
    <row r="95" spans="1:25" ht="14.25" customHeight="1">
      <c r="A95" s="15">
        <f t="shared" si="30"/>
        <v>90</v>
      </c>
      <c r="B95" s="15"/>
      <c r="C95" s="15"/>
      <c r="D95" s="16"/>
      <c r="E95" s="16"/>
      <c r="F95" s="16"/>
      <c r="G95" s="16"/>
      <c r="H95" s="398"/>
      <c r="I95" s="268"/>
      <c r="J95" s="15"/>
      <c r="K95" s="268"/>
      <c r="L95" s="268"/>
      <c r="M95" s="24"/>
      <c r="N95" s="24"/>
      <c r="O95" s="172"/>
      <c r="P95" s="25"/>
      <c r="Q95" s="24"/>
      <c r="R95" s="211"/>
      <c r="S95" s="24"/>
      <c r="T95" s="268"/>
      <c r="U95" s="268"/>
      <c r="V95" s="24"/>
      <c r="W95" s="268"/>
      <c r="X95" s="268"/>
      <c r="Y95" s="24"/>
    </row>
    <row r="96" spans="1:25" ht="14.25" customHeight="1">
      <c r="A96" s="15">
        <f t="shared" si="30"/>
        <v>91</v>
      </c>
      <c r="B96" s="15"/>
      <c r="C96" s="15"/>
      <c r="D96" s="16"/>
      <c r="E96" s="16"/>
      <c r="F96" s="16"/>
      <c r="G96" s="16"/>
      <c r="H96" s="398"/>
      <c r="I96" s="268"/>
      <c r="J96" s="25"/>
      <c r="K96" s="268"/>
      <c r="L96" s="268"/>
      <c r="M96" s="24"/>
      <c r="N96" s="24"/>
      <c r="O96" s="172"/>
      <c r="P96" s="25"/>
      <c r="Q96" s="24"/>
      <c r="R96" s="211"/>
      <c r="S96" s="24"/>
      <c r="T96" s="268"/>
      <c r="U96" s="268"/>
      <c r="V96" s="24"/>
      <c r="W96" s="268"/>
      <c r="X96" s="268"/>
      <c r="Y96" s="24"/>
    </row>
    <row r="97" spans="1:25" ht="14.25" customHeight="1">
      <c r="A97" s="15">
        <f t="shared" si="30"/>
        <v>92</v>
      </c>
      <c r="B97" s="15"/>
      <c r="C97" s="15"/>
      <c r="D97" s="16"/>
      <c r="E97" s="16"/>
      <c r="F97" s="16"/>
      <c r="G97" s="16"/>
      <c r="H97" s="398"/>
      <c r="I97" s="268"/>
      <c r="J97" s="24"/>
      <c r="K97" s="268"/>
      <c r="L97" s="268"/>
      <c r="M97" s="24"/>
      <c r="N97" s="24"/>
      <c r="O97" s="172"/>
      <c r="P97" s="25"/>
      <c r="Q97" s="24"/>
      <c r="R97" s="211"/>
      <c r="S97" s="24"/>
      <c r="T97" s="268"/>
      <c r="U97" s="268"/>
      <c r="V97" s="24"/>
      <c r="W97" s="268"/>
      <c r="X97" s="268"/>
      <c r="Y97" s="24"/>
    </row>
    <row r="98" spans="1:25" ht="14.25" customHeight="1">
      <c r="A98" s="15">
        <f t="shared" si="30"/>
        <v>93</v>
      </c>
      <c r="B98" s="15"/>
      <c r="C98" s="15"/>
      <c r="D98" s="16"/>
      <c r="E98" s="16"/>
      <c r="F98" s="16"/>
      <c r="G98" s="25"/>
      <c r="H98" s="398"/>
      <c r="I98" s="268"/>
      <c r="J98" s="24"/>
      <c r="K98" s="268"/>
      <c r="L98" s="268"/>
      <c r="M98" s="24"/>
      <c r="N98" s="24"/>
      <c r="O98" s="24"/>
      <c r="P98" s="25"/>
      <c r="Q98" s="24"/>
      <c r="R98" s="211"/>
      <c r="S98" s="24"/>
      <c r="T98" s="268"/>
      <c r="U98" s="268"/>
      <c r="V98" s="24"/>
      <c r="W98" s="268"/>
      <c r="X98" s="268"/>
      <c r="Y98" s="24"/>
    </row>
    <row r="99" spans="1:25" ht="14.25" customHeight="1">
      <c r="A99" s="15">
        <f t="shared" si="30"/>
        <v>94</v>
      </c>
      <c r="B99" s="15"/>
      <c r="C99" s="15"/>
      <c r="D99" s="16"/>
      <c r="E99" s="16"/>
      <c r="F99" s="16"/>
      <c r="G99" s="16"/>
      <c r="H99" s="398"/>
      <c r="I99" s="268"/>
      <c r="J99" s="16"/>
      <c r="K99" s="268"/>
      <c r="L99" s="268"/>
      <c r="M99" s="24"/>
      <c r="N99" s="24"/>
      <c r="O99" s="24"/>
      <c r="P99" s="25"/>
      <c r="Q99" s="24"/>
      <c r="R99" s="211"/>
      <c r="S99" s="24"/>
      <c r="T99" s="268"/>
      <c r="U99" s="268"/>
      <c r="V99" s="24"/>
      <c r="W99" s="268"/>
      <c r="X99" s="268"/>
      <c r="Y99" s="24"/>
    </row>
    <row r="100" spans="1:25" ht="14.25" customHeight="1">
      <c r="A100" s="15">
        <f t="shared" si="30"/>
        <v>95</v>
      </c>
      <c r="B100" s="15"/>
      <c r="C100" s="15"/>
      <c r="D100" s="16"/>
      <c r="E100" s="16"/>
      <c r="F100" s="16"/>
      <c r="G100" s="16"/>
      <c r="H100" s="398"/>
      <c r="I100" s="268"/>
      <c r="J100" s="16"/>
      <c r="K100" s="268"/>
      <c r="L100" s="268"/>
      <c r="M100" s="25"/>
      <c r="N100" s="121"/>
      <c r="O100" s="24"/>
      <c r="P100" s="25"/>
      <c r="Q100" s="24"/>
      <c r="R100" s="211"/>
      <c r="S100" s="15"/>
      <c r="T100" s="268"/>
      <c r="U100" s="268"/>
      <c r="V100" s="24"/>
      <c r="W100" s="268"/>
      <c r="X100" s="268"/>
      <c r="Y100" s="24"/>
    </row>
    <row r="101" spans="1:25" ht="14.25" customHeight="1">
      <c r="A101" s="15">
        <f t="shared" si="30"/>
        <v>96</v>
      </c>
      <c r="B101" s="15"/>
      <c r="C101" s="15"/>
      <c r="D101" s="16"/>
      <c r="E101" s="16"/>
      <c r="F101" s="16"/>
      <c r="G101" s="16"/>
      <c r="H101" s="398"/>
      <c r="I101" s="268"/>
      <c r="J101" s="16"/>
      <c r="K101" s="268"/>
      <c r="L101" s="268"/>
      <c r="M101" s="25"/>
      <c r="N101" s="15"/>
      <c r="O101" s="24"/>
      <c r="P101" s="25"/>
      <c r="Q101" s="24"/>
      <c r="R101" s="211"/>
      <c r="S101" s="15"/>
      <c r="T101" s="268"/>
      <c r="U101" s="268"/>
      <c r="V101" s="24"/>
      <c r="W101" s="268"/>
      <c r="X101" s="268"/>
      <c r="Y101" s="24"/>
    </row>
    <row r="102" spans="1:25" ht="14.25" customHeight="1">
      <c r="A102" s="15">
        <f t="shared" si="30"/>
        <v>97</v>
      </c>
      <c r="B102" s="15"/>
      <c r="C102" s="15"/>
      <c r="D102" s="16"/>
      <c r="E102" s="16"/>
      <c r="F102" s="15"/>
      <c r="G102" s="15"/>
      <c r="H102" s="398"/>
      <c r="I102" s="268"/>
      <c r="J102" s="15"/>
      <c r="K102" s="268"/>
      <c r="L102" s="268"/>
      <c r="M102" s="15"/>
      <c r="N102" s="24"/>
      <c r="O102" s="100"/>
      <c r="P102" s="35"/>
      <c r="Q102" s="35"/>
      <c r="R102" s="212"/>
      <c r="S102" s="15"/>
      <c r="T102" s="268"/>
      <c r="U102" s="268"/>
      <c r="V102" s="24"/>
      <c r="W102" s="268"/>
      <c r="X102" s="268"/>
      <c r="Y102" s="24"/>
    </row>
    <row r="103" spans="1:25" ht="14.25" customHeight="1">
      <c r="A103" s="15">
        <f t="shared" si="30"/>
        <v>98</v>
      </c>
      <c r="B103" s="15"/>
      <c r="C103" s="15"/>
      <c r="D103" s="16"/>
      <c r="E103" s="16"/>
      <c r="F103" s="15"/>
      <c r="G103" s="15"/>
      <c r="H103" s="398"/>
      <c r="I103" s="268"/>
      <c r="J103" s="15"/>
      <c r="K103" s="268"/>
      <c r="L103" s="268"/>
      <c r="M103" s="15"/>
      <c r="N103" s="15"/>
      <c r="O103" s="100"/>
      <c r="P103" s="35"/>
      <c r="Q103" s="35"/>
      <c r="R103" s="212"/>
      <c r="S103" s="15"/>
      <c r="T103" s="268"/>
      <c r="U103" s="268"/>
      <c r="V103" s="15"/>
      <c r="W103" s="268"/>
      <c r="X103" s="268"/>
      <c r="Y103" s="18"/>
    </row>
    <row r="104" spans="1:25" ht="14.25" customHeight="1">
      <c r="A104" s="15">
        <f t="shared" si="30"/>
        <v>99</v>
      </c>
      <c r="B104" s="15"/>
      <c r="C104" s="15"/>
      <c r="D104" s="16"/>
      <c r="E104" s="16"/>
      <c r="F104" s="15"/>
      <c r="G104" s="15"/>
      <c r="H104" s="398"/>
      <c r="I104" s="268"/>
      <c r="J104" s="15"/>
      <c r="K104" s="268"/>
      <c r="L104" s="268"/>
      <c r="M104" s="15"/>
      <c r="N104" s="15"/>
      <c r="O104" s="19"/>
      <c r="P104" s="15"/>
      <c r="Q104" s="15"/>
      <c r="R104" s="215"/>
      <c r="S104" s="15"/>
      <c r="T104" s="268"/>
      <c r="U104" s="268"/>
      <c r="V104" s="15"/>
      <c r="W104" s="268"/>
      <c r="X104" s="268"/>
      <c r="Y104" s="18"/>
    </row>
    <row r="105" spans="1:25" ht="14.25" customHeight="1">
      <c r="A105" s="15">
        <f t="shared" si="30"/>
        <v>100</v>
      </c>
      <c r="B105" s="15"/>
      <c r="C105" s="15"/>
      <c r="D105" s="16"/>
      <c r="E105" s="16"/>
      <c r="F105" s="15"/>
      <c r="G105" s="15"/>
      <c r="H105" s="398"/>
      <c r="I105" s="268"/>
      <c r="J105" s="15"/>
      <c r="K105" s="268"/>
      <c r="L105" s="268"/>
      <c r="M105" s="15"/>
      <c r="N105" s="15"/>
      <c r="O105" s="19"/>
      <c r="P105" s="15"/>
      <c r="Q105" s="15"/>
      <c r="R105" s="215"/>
      <c r="S105" s="15"/>
      <c r="T105" s="268"/>
      <c r="U105" s="268"/>
      <c r="V105" s="15"/>
      <c r="W105" s="268"/>
      <c r="X105" s="268"/>
      <c r="Y105" s="18"/>
    </row>
    <row r="106" spans="1:25" ht="14.25" customHeight="1">
      <c r="A106" s="15">
        <f t="shared" si="30"/>
        <v>101</v>
      </c>
      <c r="B106" s="15"/>
      <c r="C106" s="15"/>
      <c r="D106" s="16"/>
      <c r="E106" s="16"/>
      <c r="F106" s="15"/>
      <c r="G106" s="15"/>
      <c r="H106" s="398"/>
      <c r="I106" s="268"/>
      <c r="J106" s="15"/>
      <c r="K106" s="268"/>
      <c r="L106" s="268"/>
      <c r="M106" s="15"/>
      <c r="N106" s="15"/>
      <c r="O106" s="19"/>
      <c r="P106" s="15"/>
      <c r="Q106" s="15"/>
      <c r="R106" s="215"/>
      <c r="S106" s="15"/>
      <c r="T106" s="268"/>
      <c r="U106" s="268"/>
      <c r="V106" s="15"/>
      <c r="W106" s="268"/>
      <c r="X106" s="268"/>
      <c r="Y106" s="18"/>
    </row>
    <row r="107" spans="1:25" ht="14.25" customHeight="1">
      <c r="A107" s="15">
        <f t="shared" si="30"/>
        <v>102</v>
      </c>
      <c r="B107" s="15"/>
      <c r="C107" s="15"/>
      <c r="D107" s="16"/>
      <c r="E107" s="16"/>
      <c r="F107" s="15"/>
      <c r="G107" s="15"/>
      <c r="H107" s="398"/>
      <c r="I107" s="268"/>
      <c r="J107" s="15"/>
      <c r="K107" s="268"/>
      <c r="L107" s="268"/>
      <c r="M107" s="15"/>
      <c r="N107" s="15"/>
      <c r="O107" s="19"/>
      <c r="P107" s="15"/>
      <c r="Q107" s="15"/>
      <c r="R107" s="215"/>
      <c r="S107" s="15"/>
      <c r="T107" s="268"/>
      <c r="U107" s="268"/>
      <c r="V107" s="15"/>
      <c r="W107" s="268"/>
      <c r="X107" s="268"/>
      <c r="Y107" s="18"/>
    </row>
    <row r="108" spans="1:25" ht="14.25" customHeight="1">
      <c r="A108" s="15">
        <f t="shared" si="30"/>
        <v>103</v>
      </c>
      <c r="B108" s="15"/>
      <c r="C108" s="15"/>
      <c r="D108" s="16"/>
      <c r="E108" s="16"/>
      <c r="F108" s="15"/>
      <c r="G108" s="15"/>
      <c r="H108" s="398"/>
      <c r="I108" s="268"/>
      <c r="J108" s="15"/>
      <c r="K108" s="268"/>
      <c r="L108" s="268"/>
      <c r="M108" s="15"/>
      <c r="N108" s="15"/>
      <c r="O108" s="19"/>
      <c r="P108" s="15"/>
      <c r="Q108" s="15"/>
      <c r="R108" s="215"/>
      <c r="S108" s="15"/>
      <c r="T108" s="268"/>
      <c r="U108" s="268"/>
      <c r="V108" s="15"/>
      <c r="W108" s="268"/>
      <c r="X108" s="268"/>
      <c r="Y108" s="18"/>
    </row>
    <row r="109" spans="1:25" ht="14.25" customHeight="1">
      <c r="A109" s="15">
        <f t="shared" si="30"/>
        <v>104</v>
      </c>
      <c r="B109" s="15"/>
      <c r="C109" s="15"/>
      <c r="D109" s="16"/>
      <c r="E109" s="16"/>
      <c r="F109" s="16"/>
      <c r="G109" s="15"/>
      <c r="H109" s="398"/>
      <c r="I109" s="268"/>
      <c r="J109" s="15"/>
      <c r="K109" s="268"/>
      <c r="L109" s="268"/>
      <c r="M109" s="24"/>
      <c r="N109" s="15"/>
      <c r="O109" s="172"/>
      <c r="P109" s="15"/>
      <c r="Q109" s="24"/>
      <c r="R109" s="211"/>
      <c r="S109" s="15"/>
      <c r="T109" s="268"/>
      <c r="U109" s="268"/>
      <c r="V109" s="15"/>
      <c r="W109" s="268"/>
      <c r="X109" s="268"/>
      <c r="Y109" s="18"/>
    </row>
    <row r="110" spans="1:25" ht="14.25" customHeight="1">
      <c r="A110" s="15">
        <f t="shared" si="30"/>
        <v>105</v>
      </c>
      <c r="B110" s="15"/>
      <c r="C110" s="15"/>
      <c r="D110" s="16"/>
      <c r="E110" s="16"/>
      <c r="F110" s="16"/>
      <c r="G110" s="16"/>
      <c r="H110" s="398"/>
      <c r="I110" s="268"/>
      <c r="J110" s="15"/>
      <c r="K110" s="268"/>
      <c r="L110" s="268"/>
      <c r="M110" s="24"/>
      <c r="N110" s="15"/>
      <c r="O110" s="172"/>
      <c r="P110" s="15"/>
      <c r="Q110" s="24"/>
      <c r="R110" s="211"/>
      <c r="S110" s="15"/>
      <c r="T110" s="268"/>
      <c r="U110" s="268"/>
      <c r="V110" s="15"/>
      <c r="W110" s="268"/>
      <c r="X110" s="268"/>
      <c r="Y110" s="18"/>
    </row>
    <row r="111" spans="1:25" ht="14.25" customHeight="1">
      <c r="A111" s="15">
        <f t="shared" si="30"/>
        <v>106</v>
      </c>
      <c r="B111" s="15"/>
      <c r="C111" s="15"/>
      <c r="D111" s="16"/>
      <c r="E111" s="16"/>
      <c r="F111" s="16"/>
      <c r="G111" s="16"/>
      <c r="H111" s="398"/>
      <c r="I111" s="268"/>
      <c r="J111" s="15"/>
      <c r="K111" s="268"/>
      <c r="L111" s="268"/>
      <c r="M111" s="24"/>
      <c r="N111" s="15"/>
      <c r="O111" s="172"/>
      <c r="P111" s="15"/>
      <c r="Q111" s="24"/>
      <c r="R111" s="211"/>
      <c r="S111" s="15"/>
      <c r="T111" s="268"/>
      <c r="U111" s="268"/>
      <c r="V111" s="15"/>
      <c r="W111" s="268"/>
      <c r="X111" s="268"/>
      <c r="Y111" s="18"/>
    </row>
    <row r="112" spans="1:25" ht="14.25" customHeight="1">
      <c r="A112" s="15">
        <f t="shared" si="30"/>
        <v>107</v>
      </c>
      <c r="B112" s="15"/>
      <c r="C112" s="15"/>
      <c r="D112" s="16"/>
      <c r="E112" s="16"/>
      <c r="F112" s="16"/>
      <c r="G112" s="16"/>
      <c r="H112" s="398"/>
      <c r="I112" s="268"/>
      <c r="J112" s="15"/>
      <c r="K112" s="268"/>
      <c r="L112" s="268"/>
      <c r="M112" s="24"/>
      <c r="N112" s="15"/>
      <c r="O112" s="172"/>
      <c r="P112" s="15"/>
      <c r="Q112" s="24"/>
      <c r="R112" s="211"/>
      <c r="S112" s="15"/>
      <c r="T112" s="268"/>
      <c r="U112" s="268"/>
      <c r="V112" s="15"/>
      <c r="W112" s="268"/>
      <c r="X112" s="268"/>
      <c r="Y112" s="18"/>
    </row>
    <row r="113" spans="1:25" ht="14.25" customHeight="1">
      <c r="A113" s="15">
        <f t="shared" si="30"/>
        <v>108</v>
      </c>
      <c r="B113" s="15"/>
      <c r="C113" s="15"/>
      <c r="D113" s="16"/>
      <c r="E113" s="16"/>
      <c r="F113" s="16"/>
      <c r="G113" s="16"/>
      <c r="H113" s="398"/>
      <c r="I113" s="268"/>
      <c r="J113" s="15"/>
      <c r="K113" s="268"/>
      <c r="L113" s="268"/>
      <c r="M113" s="24"/>
      <c r="N113" s="15"/>
      <c r="O113" s="24"/>
      <c r="P113" s="15"/>
      <c r="Q113" s="24"/>
      <c r="R113" s="211"/>
      <c r="S113" s="15"/>
      <c r="T113" s="268"/>
      <c r="U113" s="268"/>
      <c r="V113" s="15"/>
      <c r="W113" s="268"/>
      <c r="X113" s="268"/>
      <c r="Y113" s="18"/>
    </row>
    <row r="114" spans="1:25" ht="14.25" customHeight="1">
      <c r="A114" s="15">
        <f t="shared" si="30"/>
        <v>109</v>
      </c>
      <c r="B114" s="15"/>
      <c r="C114" s="15"/>
      <c r="D114" s="16"/>
      <c r="E114" s="16"/>
      <c r="F114" s="16"/>
      <c r="G114" s="16"/>
      <c r="H114" s="398"/>
      <c r="I114" s="268"/>
      <c r="J114" s="15"/>
      <c r="K114" s="268"/>
      <c r="L114" s="268"/>
      <c r="M114" s="24"/>
      <c r="N114" s="15"/>
      <c r="O114" s="24"/>
      <c r="P114" s="15"/>
      <c r="Q114" s="24"/>
      <c r="R114" s="211"/>
      <c r="S114" s="15"/>
      <c r="T114" s="268"/>
      <c r="U114" s="268"/>
      <c r="V114" s="15"/>
      <c r="W114" s="268"/>
      <c r="X114" s="268"/>
      <c r="Y114" s="18"/>
    </row>
    <row r="115" spans="1:25" ht="14.25" customHeight="1">
      <c r="A115" s="15">
        <f t="shared" si="30"/>
        <v>110</v>
      </c>
      <c r="B115" s="15"/>
      <c r="C115" s="15"/>
      <c r="D115" s="16"/>
      <c r="E115" s="16"/>
      <c r="F115" s="16"/>
      <c r="G115" s="16"/>
      <c r="H115" s="398"/>
      <c r="I115" s="268"/>
      <c r="J115" s="15"/>
      <c r="K115" s="268"/>
      <c r="L115" s="268"/>
      <c r="M115" s="24"/>
      <c r="N115" s="15"/>
      <c r="O115" s="24"/>
      <c r="P115" s="15"/>
      <c r="Q115" s="24"/>
      <c r="R115" s="211"/>
      <c r="S115" s="15"/>
      <c r="T115" s="268"/>
      <c r="U115" s="268"/>
      <c r="V115" s="15"/>
      <c r="W115" s="268"/>
      <c r="X115" s="268"/>
      <c r="Y115" s="18"/>
    </row>
    <row r="116" spans="1:25" ht="14.25" customHeight="1">
      <c r="A116" s="15">
        <f t="shared" si="30"/>
        <v>111</v>
      </c>
      <c r="B116" s="15"/>
      <c r="C116" s="15"/>
      <c r="D116" s="16"/>
      <c r="E116" s="16"/>
      <c r="F116" s="16"/>
      <c r="G116" s="16"/>
      <c r="H116" s="398"/>
      <c r="I116" s="268"/>
      <c r="J116" s="16"/>
      <c r="K116" s="268"/>
      <c r="L116" s="268"/>
      <c r="M116" s="24"/>
      <c r="N116" s="15"/>
      <c r="O116" s="24"/>
      <c r="P116" s="15"/>
      <c r="Q116" s="24"/>
      <c r="R116" s="211"/>
      <c r="S116" s="15"/>
      <c r="T116" s="268"/>
      <c r="U116" s="268"/>
      <c r="V116" s="15"/>
      <c r="W116" s="268"/>
      <c r="X116" s="268"/>
      <c r="Y116" s="18"/>
    </row>
    <row r="117" spans="1:25" ht="14.25" customHeight="1">
      <c r="A117" s="15">
        <f t="shared" si="30"/>
        <v>112</v>
      </c>
      <c r="B117" s="15"/>
      <c r="C117" s="15"/>
      <c r="D117" s="16"/>
      <c r="E117" s="16"/>
      <c r="F117" s="16"/>
      <c r="G117" s="16"/>
      <c r="H117" s="398"/>
      <c r="I117" s="268"/>
      <c r="J117" s="16"/>
      <c r="K117" s="268"/>
      <c r="L117" s="268"/>
      <c r="M117" s="15"/>
      <c r="N117" s="15"/>
      <c r="O117" s="24"/>
      <c r="P117" s="15"/>
      <c r="Q117" s="24"/>
      <c r="R117" s="211"/>
      <c r="S117" s="15"/>
      <c r="T117" s="268"/>
      <c r="U117" s="268"/>
      <c r="V117" s="15"/>
      <c r="W117" s="268"/>
      <c r="X117" s="268"/>
      <c r="Y117" s="18"/>
    </row>
    <row r="118" spans="1:25" ht="14.25" customHeight="1">
      <c r="A118" s="15">
        <f t="shared" si="30"/>
        <v>113</v>
      </c>
      <c r="B118" s="15"/>
      <c r="C118" s="15"/>
      <c r="D118" s="16"/>
      <c r="E118" s="16"/>
      <c r="F118" s="16"/>
      <c r="G118" s="16"/>
      <c r="H118" s="398"/>
      <c r="I118" s="268"/>
      <c r="J118" s="16"/>
      <c r="K118" s="268"/>
      <c r="L118" s="268"/>
      <c r="M118" s="24"/>
      <c r="N118" s="15"/>
      <c r="O118" s="24"/>
      <c r="P118" s="15"/>
      <c r="Q118" s="24"/>
      <c r="R118" s="211"/>
      <c r="S118" s="15"/>
      <c r="T118" s="268"/>
      <c r="U118" s="268"/>
      <c r="V118" s="15"/>
      <c r="W118" s="268"/>
      <c r="X118" s="268"/>
      <c r="Y118" s="18"/>
    </row>
    <row r="119" spans="1:25" ht="14.25" customHeight="1">
      <c r="A119" s="15">
        <f t="shared" si="30"/>
        <v>114</v>
      </c>
      <c r="B119" s="15"/>
      <c r="C119" s="15"/>
      <c r="D119" s="16"/>
      <c r="E119" s="16"/>
      <c r="F119" s="16"/>
      <c r="G119" s="16"/>
      <c r="H119" s="398"/>
      <c r="I119" s="268"/>
      <c r="J119" s="16"/>
      <c r="K119" s="268"/>
      <c r="L119" s="268"/>
      <c r="M119" s="24"/>
      <c r="N119" s="15"/>
      <c r="O119" s="24"/>
      <c r="P119" s="15"/>
      <c r="Q119" s="24"/>
      <c r="R119" s="211"/>
      <c r="S119" s="15"/>
      <c r="T119" s="268"/>
      <c r="U119" s="268"/>
      <c r="V119" s="15"/>
      <c r="W119" s="268"/>
      <c r="X119" s="268"/>
      <c r="Y119" s="18"/>
    </row>
    <row r="120" spans="1:25" ht="14.25" customHeight="1">
      <c r="A120" s="15">
        <f t="shared" si="30"/>
        <v>115</v>
      </c>
      <c r="B120" s="15"/>
      <c r="C120" s="15"/>
      <c r="D120" s="16"/>
      <c r="E120" s="16"/>
      <c r="F120" s="16"/>
      <c r="G120" s="16"/>
      <c r="H120" s="398"/>
      <c r="I120" s="268"/>
      <c r="J120" s="16"/>
      <c r="K120" s="268"/>
      <c r="L120" s="268"/>
      <c r="M120" s="24"/>
      <c r="N120" s="15"/>
      <c r="O120" s="24"/>
      <c r="P120" s="15"/>
      <c r="Q120" s="24"/>
      <c r="R120" s="211"/>
      <c r="S120" s="15"/>
      <c r="T120" s="268"/>
      <c r="U120" s="268"/>
      <c r="V120" s="15"/>
      <c r="W120" s="268"/>
      <c r="X120" s="268"/>
      <c r="Y120" s="18"/>
    </row>
    <row r="121" spans="1:25" ht="14.25" customHeight="1">
      <c r="A121" s="15">
        <f t="shared" si="30"/>
        <v>116</v>
      </c>
      <c r="B121" s="15"/>
      <c r="C121" s="15"/>
      <c r="D121" s="16"/>
      <c r="E121" s="16"/>
      <c r="F121" s="16"/>
      <c r="G121" s="16"/>
      <c r="H121" s="398"/>
      <c r="I121" s="268"/>
      <c r="J121" s="16"/>
      <c r="K121" s="268"/>
      <c r="L121" s="268"/>
      <c r="M121" s="24"/>
      <c r="N121" s="15"/>
      <c r="O121" s="24"/>
      <c r="P121" s="15"/>
      <c r="Q121" s="24"/>
      <c r="R121" s="211"/>
      <c r="S121" s="15"/>
      <c r="T121" s="268"/>
      <c r="U121" s="268"/>
      <c r="V121" s="15"/>
      <c r="W121" s="268"/>
      <c r="X121" s="268"/>
      <c r="Y121" s="18"/>
    </row>
    <row r="122" spans="1:25" ht="14.25" customHeight="1">
      <c r="A122" s="15">
        <f t="shared" si="30"/>
        <v>117</v>
      </c>
      <c r="B122" s="15"/>
      <c r="C122" s="15"/>
      <c r="D122" s="16"/>
      <c r="E122" s="16"/>
      <c r="F122" s="16"/>
      <c r="G122" s="16"/>
      <c r="H122" s="398"/>
      <c r="I122" s="268"/>
      <c r="J122" s="16"/>
      <c r="K122" s="268"/>
      <c r="L122" s="268"/>
      <c r="M122" s="24"/>
      <c r="N122" s="15"/>
      <c r="O122" s="24"/>
      <c r="P122" s="15"/>
      <c r="Q122" s="24"/>
      <c r="R122" s="211"/>
      <c r="S122" s="15"/>
      <c r="T122" s="268"/>
      <c r="U122" s="268"/>
      <c r="V122" s="15"/>
      <c r="W122" s="268"/>
      <c r="X122" s="268"/>
      <c r="Y122" s="18"/>
    </row>
    <row r="123" spans="1:25" ht="14.25" customHeight="1">
      <c r="A123" s="15">
        <f t="shared" si="30"/>
        <v>118</v>
      </c>
      <c r="B123" s="15"/>
      <c r="C123" s="15"/>
      <c r="D123" s="16"/>
      <c r="E123" s="16"/>
      <c r="F123" s="16"/>
      <c r="G123" s="16"/>
      <c r="H123" s="398"/>
      <c r="I123" s="268"/>
      <c r="J123" s="16"/>
      <c r="K123" s="268"/>
      <c r="L123" s="268"/>
      <c r="M123" s="24"/>
      <c r="N123" s="15"/>
      <c r="O123" s="24"/>
      <c r="P123" s="15"/>
      <c r="Q123" s="24"/>
      <c r="R123" s="211"/>
      <c r="S123" s="15"/>
      <c r="T123" s="268"/>
      <c r="U123" s="268"/>
      <c r="V123" s="15"/>
      <c r="W123" s="268"/>
      <c r="X123" s="268"/>
      <c r="Y123" s="18"/>
    </row>
    <row r="124" spans="1:25" ht="14.25" customHeight="1">
      <c r="A124" s="15">
        <f t="shared" si="30"/>
        <v>119</v>
      </c>
      <c r="B124" s="15"/>
      <c r="C124" s="15"/>
      <c r="D124" s="16"/>
      <c r="E124" s="16"/>
      <c r="F124" s="16"/>
      <c r="G124" s="16"/>
      <c r="H124" s="398"/>
      <c r="I124" s="268"/>
      <c r="J124" s="16"/>
      <c r="K124" s="268"/>
      <c r="L124" s="268"/>
      <c r="M124" s="24"/>
      <c r="N124" s="15"/>
      <c r="O124" s="24"/>
      <c r="P124" s="15"/>
      <c r="Q124" s="24"/>
      <c r="R124" s="211"/>
      <c r="S124" s="15"/>
      <c r="T124" s="268"/>
      <c r="U124" s="268"/>
      <c r="V124" s="15"/>
      <c r="W124" s="268"/>
      <c r="X124" s="268"/>
      <c r="Y124" s="18"/>
    </row>
    <row r="125" spans="1:25" ht="14.25" customHeight="1">
      <c r="A125" s="15">
        <f t="shared" si="30"/>
        <v>120</v>
      </c>
      <c r="B125" s="15"/>
      <c r="C125" s="15"/>
      <c r="D125" s="16"/>
      <c r="E125" s="16"/>
      <c r="F125" s="16"/>
      <c r="G125" s="16"/>
      <c r="H125" s="398"/>
      <c r="I125" s="268"/>
      <c r="J125" s="16"/>
      <c r="K125" s="268"/>
      <c r="L125" s="268"/>
      <c r="M125" s="24"/>
      <c r="N125" s="15"/>
      <c r="O125" s="24"/>
      <c r="P125" s="15"/>
      <c r="Q125" s="24"/>
      <c r="R125" s="211"/>
      <c r="S125" s="15"/>
      <c r="T125" s="268"/>
      <c r="U125" s="268"/>
      <c r="V125" s="15"/>
      <c r="W125" s="268"/>
      <c r="X125" s="268"/>
      <c r="Y125" s="18"/>
    </row>
    <row r="126" spans="1:25" ht="14.25" customHeight="1">
      <c r="A126" s="15">
        <f t="shared" si="30"/>
        <v>121</v>
      </c>
      <c r="B126" s="15"/>
      <c r="C126" s="15"/>
      <c r="D126" s="16"/>
      <c r="E126" s="16"/>
      <c r="F126" s="16"/>
      <c r="G126" s="16"/>
      <c r="H126" s="398"/>
      <c r="I126" s="268"/>
      <c r="J126" s="16"/>
      <c r="K126" s="268"/>
      <c r="L126" s="268"/>
      <c r="M126" s="24"/>
      <c r="N126" s="15"/>
      <c r="O126" s="24"/>
      <c r="P126" s="15"/>
      <c r="Q126" s="24"/>
      <c r="R126" s="211"/>
      <c r="S126" s="15"/>
      <c r="T126" s="268"/>
      <c r="U126" s="268"/>
      <c r="V126" s="15"/>
      <c r="W126" s="268"/>
      <c r="X126" s="268"/>
      <c r="Y126" s="18"/>
    </row>
    <row r="127" spans="1:25" ht="14.25" customHeight="1">
      <c r="A127" s="15">
        <f t="shared" si="30"/>
        <v>122</v>
      </c>
      <c r="B127" s="15"/>
      <c r="C127" s="15"/>
      <c r="D127" s="16"/>
      <c r="E127" s="16"/>
      <c r="F127" s="16"/>
      <c r="G127" s="16"/>
      <c r="H127" s="398"/>
      <c r="I127" s="268"/>
      <c r="J127" s="16"/>
      <c r="K127" s="268"/>
      <c r="L127" s="268"/>
      <c r="M127" s="24"/>
      <c r="N127" s="15"/>
      <c r="O127" s="172"/>
      <c r="P127" s="15"/>
      <c r="Q127" s="24"/>
      <c r="R127" s="211"/>
      <c r="S127" s="15"/>
      <c r="T127" s="268"/>
      <c r="U127" s="268"/>
      <c r="V127" s="15"/>
      <c r="W127" s="268"/>
      <c r="X127" s="268"/>
      <c r="Y127" s="18"/>
    </row>
    <row r="128" spans="1:25" ht="14.25" customHeight="1">
      <c r="A128" s="15">
        <f t="shared" si="30"/>
        <v>123</v>
      </c>
      <c r="B128" s="15"/>
      <c r="C128" s="15"/>
      <c r="D128" s="16"/>
      <c r="E128" s="16"/>
      <c r="F128" s="16"/>
      <c r="G128" s="16"/>
      <c r="H128" s="398"/>
      <c r="I128" s="268"/>
      <c r="J128" s="16"/>
      <c r="K128" s="268"/>
      <c r="L128" s="268"/>
      <c r="M128" s="24"/>
      <c r="N128" s="15"/>
      <c r="O128" s="172"/>
      <c r="P128" s="15"/>
      <c r="Q128" s="24"/>
      <c r="R128" s="211"/>
      <c r="S128" s="15"/>
      <c r="T128" s="268"/>
      <c r="U128" s="268"/>
      <c r="V128" s="15"/>
      <c r="W128" s="268"/>
      <c r="X128" s="268"/>
      <c r="Y128" s="18"/>
    </row>
    <row r="129" spans="1:25" ht="14.25" customHeight="1">
      <c r="A129" s="15">
        <f t="shared" si="30"/>
        <v>124</v>
      </c>
      <c r="B129" s="15"/>
      <c r="C129" s="15"/>
      <c r="D129" s="16"/>
      <c r="E129" s="16"/>
      <c r="F129" s="16"/>
      <c r="G129" s="16"/>
      <c r="H129" s="398"/>
      <c r="I129" s="268"/>
      <c r="J129" s="16"/>
      <c r="K129" s="268"/>
      <c r="L129" s="268"/>
      <c r="M129" s="24"/>
      <c r="N129" s="15"/>
      <c r="O129" s="24"/>
      <c r="P129" s="15"/>
      <c r="Q129" s="24"/>
      <c r="R129" s="211"/>
      <c r="S129" s="15"/>
      <c r="T129" s="268"/>
      <c r="U129" s="268"/>
      <c r="V129" s="15"/>
      <c r="W129" s="268"/>
      <c r="X129" s="268"/>
      <c r="Y129" s="18"/>
    </row>
    <row r="130" spans="1:25" ht="14.25" customHeight="1">
      <c r="A130" s="15">
        <f t="shared" si="30"/>
        <v>125</v>
      </c>
      <c r="B130" s="15"/>
      <c r="C130" s="15"/>
      <c r="D130" s="16"/>
      <c r="E130" s="16"/>
      <c r="F130" s="16"/>
      <c r="G130" s="16"/>
      <c r="H130" s="398"/>
      <c r="I130" s="268"/>
      <c r="J130" s="16"/>
      <c r="K130" s="268"/>
      <c r="L130" s="268"/>
      <c r="M130" s="15"/>
      <c r="N130" s="15"/>
      <c r="O130" s="24"/>
      <c r="P130" s="15"/>
      <c r="Q130" s="24"/>
      <c r="R130" s="211"/>
      <c r="S130" s="15"/>
      <c r="T130" s="268"/>
      <c r="U130" s="268"/>
      <c r="V130" s="15"/>
      <c r="W130" s="268"/>
      <c r="X130" s="268"/>
      <c r="Y130" s="18"/>
    </row>
    <row r="131" spans="1:25" ht="14.25" customHeight="1">
      <c r="A131" s="15">
        <f t="shared" si="30"/>
        <v>126</v>
      </c>
      <c r="B131" s="15"/>
      <c r="C131" s="15"/>
      <c r="D131" s="16"/>
      <c r="E131" s="16"/>
      <c r="F131" s="16"/>
      <c r="G131" s="16"/>
      <c r="H131" s="398"/>
      <c r="I131" s="268"/>
      <c r="J131" s="16"/>
      <c r="K131" s="268"/>
      <c r="L131" s="268"/>
      <c r="M131" s="24"/>
      <c r="N131" s="15"/>
      <c r="O131" s="24"/>
      <c r="P131" s="15"/>
      <c r="Q131" s="24"/>
      <c r="R131" s="211"/>
      <c r="S131" s="15"/>
      <c r="T131" s="268"/>
      <c r="U131" s="268"/>
      <c r="V131" s="15"/>
      <c r="W131" s="268"/>
      <c r="X131" s="268"/>
      <c r="Y131" s="18"/>
    </row>
    <row r="132" spans="1:25" ht="14.25" customHeight="1">
      <c r="A132" s="15">
        <f t="shared" si="30"/>
        <v>127</v>
      </c>
      <c r="B132" s="15"/>
      <c r="C132" s="15"/>
      <c r="D132" s="16"/>
      <c r="E132" s="16"/>
      <c r="F132" s="16"/>
      <c r="G132" s="16"/>
      <c r="H132" s="398"/>
      <c r="I132" s="268"/>
      <c r="J132" s="16"/>
      <c r="K132" s="268"/>
      <c r="L132" s="268"/>
      <c r="M132" s="24"/>
      <c r="N132" s="15"/>
      <c r="O132" s="24"/>
      <c r="P132" s="15"/>
      <c r="Q132" s="24"/>
      <c r="R132" s="211"/>
      <c r="S132" s="15"/>
      <c r="T132" s="268"/>
      <c r="U132" s="268"/>
      <c r="V132" s="15"/>
      <c r="W132" s="268"/>
      <c r="X132" s="268"/>
      <c r="Y132" s="18"/>
    </row>
    <row r="133" spans="1:25" ht="14.25" customHeight="1">
      <c r="A133" s="15">
        <f t="shared" si="30"/>
        <v>128</v>
      </c>
      <c r="B133" s="15"/>
      <c r="C133" s="15"/>
      <c r="D133" s="16"/>
      <c r="E133" s="16"/>
      <c r="F133" s="16"/>
      <c r="G133" s="16"/>
      <c r="H133" s="398"/>
      <c r="I133" s="268"/>
      <c r="J133" s="16"/>
      <c r="K133" s="268"/>
      <c r="L133" s="268"/>
      <c r="M133" s="24"/>
      <c r="N133" s="15"/>
      <c r="O133" s="24"/>
      <c r="P133" s="15"/>
      <c r="Q133" s="24"/>
      <c r="R133" s="211"/>
      <c r="S133" s="15"/>
      <c r="T133" s="268"/>
      <c r="U133" s="268"/>
      <c r="V133" s="15"/>
      <c r="W133" s="268"/>
      <c r="X133" s="268"/>
      <c r="Y133" s="18"/>
    </row>
    <row r="134" spans="1:25" ht="14.25" customHeight="1">
      <c r="A134" s="15">
        <f t="shared" si="30"/>
        <v>129</v>
      </c>
      <c r="B134" s="15"/>
      <c r="C134" s="15"/>
      <c r="D134" s="16"/>
      <c r="E134" s="16"/>
      <c r="F134" s="16"/>
      <c r="G134" s="16"/>
      <c r="H134" s="398"/>
      <c r="I134" s="268"/>
      <c r="J134" s="25"/>
      <c r="K134" s="268"/>
      <c r="L134" s="268"/>
      <c r="M134" s="24"/>
      <c r="N134" s="15"/>
      <c r="O134" s="24"/>
      <c r="P134" s="15"/>
      <c r="Q134" s="24"/>
      <c r="R134" s="211"/>
      <c r="S134" s="15"/>
      <c r="T134" s="268"/>
      <c r="U134" s="268"/>
      <c r="V134" s="15"/>
      <c r="W134" s="268"/>
      <c r="X134" s="268"/>
      <c r="Y134" s="18"/>
    </row>
    <row r="135" spans="1:25" ht="14.25" customHeight="1">
      <c r="A135" s="15">
        <f t="shared" si="30"/>
        <v>130</v>
      </c>
      <c r="B135" s="15"/>
      <c r="C135" s="15"/>
      <c r="D135" s="16"/>
      <c r="E135" s="16"/>
      <c r="F135" s="15"/>
      <c r="G135" s="25"/>
      <c r="H135" s="398"/>
      <c r="I135" s="268"/>
      <c r="J135" s="25"/>
      <c r="K135" s="268"/>
      <c r="L135" s="268"/>
      <c r="M135" s="24"/>
      <c r="N135" s="15"/>
      <c r="O135" s="172"/>
      <c r="P135" s="25"/>
      <c r="Q135" s="24"/>
      <c r="R135" s="211"/>
      <c r="S135" s="15"/>
      <c r="T135" s="268"/>
      <c r="U135" s="268"/>
      <c r="V135" s="15"/>
      <c r="W135" s="268"/>
      <c r="X135" s="268"/>
      <c r="Y135" s="18"/>
    </row>
    <row r="136" spans="1:25" ht="14.25" customHeight="1">
      <c r="A136" s="15">
        <f t="shared" ref="A136:A171" si="34">A135+1</f>
        <v>131</v>
      </c>
      <c r="B136" s="15"/>
      <c r="C136" s="15"/>
      <c r="D136" s="16"/>
      <c r="E136" s="16"/>
      <c r="F136" s="15"/>
      <c r="G136" s="25"/>
      <c r="H136" s="398"/>
      <c r="I136" s="268"/>
      <c r="J136" s="25"/>
      <c r="K136" s="268"/>
      <c r="L136" s="268"/>
      <c r="M136" s="24"/>
      <c r="N136" s="15"/>
      <c r="O136" s="172"/>
      <c r="P136" s="25"/>
      <c r="Q136" s="25"/>
      <c r="R136" s="213"/>
      <c r="S136" s="15"/>
      <c r="T136" s="268"/>
      <c r="U136" s="268"/>
      <c r="V136" s="15"/>
      <c r="W136" s="268"/>
      <c r="X136" s="268"/>
      <c r="Y136" s="18"/>
    </row>
    <row r="137" spans="1:25" ht="14.25" customHeight="1">
      <c r="A137" s="15">
        <f t="shared" si="34"/>
        <v>132</v>
      </c>
      <c r="B137" s="15"/>
      <c r="C137" s="15"/>
      <c r="D137" s="16"/>
      <c r="E137" s="16"/>
      <c r="F137" s="15"/>
      <c r="G137" s="25"/>
      <c r="H137" s="398"/>
      <c r="I137" s="268"/>
      <c r="J137" s="25"/>
      <c r="K137" s="268"/>
      <c r="L137" s="268"/>
      <c r="M137" s="15"/>
      <c r="N137" s="15"/>
      <c r="O137" s="172"/>
      <c r="P137" s="25"/>
      <c r="Q137" s="25"/>
      <c r="R137" s="213"/>
      <c r="S137" s="15"/>
      <c r="T137" s="268"/>
      <c r="U137" s="268"/>
      <c r="V137" s="15"/>
      <c r="W137" s="268"/>
      <c r="X137" s="268"/>
      <c r="Y137" s="18"/>
    </row>
    <row r="138" spans="1:25" ht="14.25" customHeight="1">
      <c r="A138" s="15">
        <f t="shared" si="34"/>
        <v>133</v>
      </c>
      <c r="B138" s="15"/>
      <c r="C138" s="15"/>
      <c r="D138" s="16"/>
      <c r="E138" s="16"/>
      <c r="F138" s="15"/>
      <c r="G138" s="25"/>
      <c r="H138" s="398"/>
      <c r="I138" s="268"/>
      <c r="J138" s="25"/>
      <c r="K138" s="268"/>
      <c r="L138" s="268"/>
      <c r="M138" s="15"/>
      <c r="N138" s="15"/>
      <c r="O138" s="172"/>
      <c r="P138" s="25"/>
      <c r="Q138" s="25"/>
      <c r="R138" s="213"/>
      <c r="S138" s="15"/>
      <c r="T138" s="268"/>
      <c r="U138" s="268"/>
      <c r="V138" s="15"/>
      <c r="W138" s="268"/>
      <c r="X138" s="268"/>
      <c r="Y138" s="18"/>
    </row>
    <row r="139" spans="1:25" ht="14.25" customHeight="1">
      <c r="A139" s="15">
        <f t="shared" si="34"/>
        <v>134</v>
      </c>
      <c r="B139" s="15"/>
      <c r="C139" s="15"/>
      <c r="D139" s="16"/>
      <c r="E139" s="16"/>
      <c r="F139" s="15"/>
      <c r="G139" s="15"/>
      <c r="H139" s="269"/>
      <c r="I139" s="270"/>
      <c r="J139" s="15"/>
      <c r="K139" s="270"/>
      <c r="L139" s="270"/>
      <c r="M139" s="24"/>
      <c r="N139" s="15"/>
      <c r="O139" s="216"/>
      <c r="P139" s="217"/>
      <c r="Q139" s="217"/>
      <c r="R139" s="218"/>
      <c r="S139" s="15"/>
      <c r="T139" s="270"/>
      <c r="U139" s="270"/>
      <c r="V139" s="15"/>
      <c r="W139" s="270"/>
      <c r="X139" s="270"/>
      <c r="Y139" s="18"/>
    </row>
    <row r="140" spans="1:25" ht="14.25" customHeight="1">
      <c r="A140" s="15">
        <f t="shared" si="34"/>
        <v>135</v>
      </c>
      <c r="B140" s="15"/>
      <c r="C140" s="15"/>
      <c r="D140" s="16"/>
      <c r="E140" s="16"/>
      <c r="F140" s="15"/>
      <c r="G140" s="25"/>
      <c r="H140" s="398"/>
      <c r="I140" s="268"/>
      <c r="J140" s="25"/>
      <c r="K140" s="268"/>
      <c r="L140" s="268"/>
      <c r="M140" s="15"/>
      <c r="N140" s="15"/>
      <c r="O140" s="19"/>
      <c r="P140" s="15"/>
      <c r="Q140" s="15"/>
      <c r="R140" s="215"/>
      <c r="S140" s="15"/>
      <c r="T140" s="268"/>
      <c r="U140" s="268"/>
      <c r="V140" s="15"/>
      <c r="W140" s="268"/>
      <c r="X140" s="268"/>
      <c r="Y140" s="18"/>
    </row>
    <row r="141" spans="1:25" ht="14.25" customHeight="1">
      <c r="A141" s="15">
        <f t="shared" si="34"/>
        <v>136</v>
      </c>
      <c r="B141" s="15"/>
      <c r="C141" s="15"/>
      <c r="D141" s="16"/>
      <c r="E141" s="16"/>
      <c r="F141" s="15"/>
      <c r="G141" s="25"/>
      <c r="H141" s="398"/>
      <c r="I141" s="268"/>
      <c r="J141" s="25"/>
      <c r="K141" s="268"/>
      <c r="L141" s="268"/>
      <c r="M141" s="24"/>
      <c r="N141" s="15"/>
      <c r="O141" s="19"/>
      <c r="P141" s="15"/>
      <c r="Q141" s="15"/>
      <c r="R141" s="215"/>
      <c r="S141" s="15"/>
      <c r="T141" s="268"/>
      <c r="U141" s="268"/>
      <c r="V141" s="15"/>
      <c r="W141" s="268"/>
      <c r="X141" s="268"/>
      <c r="Y141" s="18"/>
    </row>
    <row r="142" spans="1:25" ht="14.25" customHeight="1">
      <c r="A142" s="15">
        <f t="shared" si="34"/>
        <v>137</v>
      </c>
      <c r="B142" s="15"/>
      <c r="C142" s="15"/>
      <c r="D142" s="16"/>
      <c r="E142" s="16"/>
      <c r="F142" s="15"/>
      <c r="G142" s="25"/>
      <c r="H142" s="398"/>
      <c r="I142" s="268"/>
      <c r="J142" s="25"/>
      <c r="K142" s="268"/>
      <c r="L142" s="268"/>
      <c r="M142" s="24"/>
      <c r="N142" s="15"/>
      <c r="O142" s="19"/>
      <c r="P142" s="15"/>
      <c r="Q142" s="15"/>
      <c r="R142" s="215"/>
      <c r="S142" s="15"/>
      <c r="T142" s="268"/>
      <c r="U142" s="268"/>
      <c r="V142" s="15"/>
      <c r="W142" s="268"/>
      <c r="X142" s="268"/>
      <c r="Y142" s="18"/>
    </row>
    <row r="143" spans="1:25" ht="14.25" customHeight="1">
      <c r="A143" s="15">
        <f t="shared" si="34"/>
        <v>138</v>
      </c>
      <c r="B143" s="15"/>
      <c r="C143" s="15"/>
      <c r="D143" s="16"/>
      <c r="E143" s="16"/>
      <c r="F143" s="16"/>
      <c r="G143" s="25"/>
      <c r="H143" s="398"/>
      <c r="I143" s="268"/>
      <c r="J143" s="25"/>
      <c r="K143" s="268"/>
      <c r="L143" s="268"/>
      <c r="M143" s="24"/>
      <c r="N143" s="15"/>
      <c r="O143" s="19"/>
      <c r="P143" s="15"/>
      <c r="Q143" s="24"/>
      <c r="R143" s="211"/>
      <c r="S143" s="15"/>
      <c r="T143" s="121"/>
      <c r="U143" s="121"/>
      <c r="V143" s="15"/>
      <c r="W143" s="121"/>
      <c r="X143" s="121"/>
      <c r="Y143" s="18"/>
    </row>
    <row r="144" spans="1:25" ht="14.25" customHeight="1">
      <c r="A144" s="15">
        <f t="shared" si="34"/>
        <v>139</v>
      </c>
      <c r="B144" s="15"/>
      <c r="C144" s="15"/>
      <c r="D144" s="16"/>
      <c r="E144" s="16"/>
      <c r="F144" s="16"/>
      <c r="G144" s="25"/>
      <c r="H144" s="398"/>
      <c r="I144" s="268"/>
      <c r="J144" s="25"/>
      <c r="K144" s="268"/>
      <c r="L144" s="268"/>
      <c r="M144" s="24"/>
      <c r="N144" s="15"/>
      <c r="O144" s="19"/>
      <c r="P144" s="15"/>
      <c r="Q144" s="24"/>
      <c r="R144" s="211"/>
      <c r="S144" s="15"/>
      <c r="T144" s="121"/>
      <c r="U144" s="121"/>
      <c r="V144" s="15"/>
      <c r="W144" s="121"/>
      <c r="X144" s="121"/>
      <c r="Y144" s="18"/>
    </row>
    <row r="145" spans="1:25" ht="14.25" customHeight="1">
      <c r="A145" s="15">
        <f t="shared" si="34"/>
        <v>140</v>
      </c>
      <c r="B145" s="15"/>
      <c r="C145" s="15"/>
      <c r="D145" s="16"/>
      <c r="E145" s="16"/>
      <c r="F145" s="16"/>
      <c r="G145" s="25"/>
      <c r="H145" s="398"/>
      <c r="I145" s="268"/>
      <c r="J145" s="25"/>
      <c r="K145" s="268"/>
      <c r="L145" s="268"/>
      <c r="M145" s="24"/>
      <c r="N145" s="15"/>
      <c r="O145" s="19"/>
      <c r="P145" s="15"/>
      <c r="Q145" s="24"/>
      <c r="R145" s="211"/>
      <c r="S145" s="15"/>
      <c r="T145" s="121"/>
      <c r="U145" s="121"/>
      <c r="V145" s="15"/>
      <c r="W145" s="121"/>
      <c r="X145" s="121"/>
      <c r="Y145" s="18"/>
    </row>
    <row r="146" spans="1:25" ht="14.25" customHeight="1">
      <c r="A146" s="15">
        <f t="shared" si="34"/>
        <v>141</v>
      </c>
      <c r="B146" s="15"/>
      <c r="C146" s="15"/>
      <c r="D146" s="219"/>
      <c r="E146" s="16"/>
      <c r="F146" s="16"/>
      <c r="G146" s="25"/>
      <c r="H146" s="398"/>
      <c r="I146" s="268"/>
      <c r="J146" s="25"/>
      <c r="K146" s="268"/>
      <c r="L146" s="268"/>
      <c r="M146" s="24"/>
      <c r="N146" s="15"/>
      <c r="O146" s="19"/>
      <c r="P146" s="15"/>
      <c r="Q146" s="24"/>
      <c r="R146" s="211"/>
      <c r="S146" s="15"/>
      <c r="T146" s="121"/>
      <c r="U146" s="121"/>
      <c r="V146" s="15"/>
      <c r="W146" s="121"/>
      <c r="X146" s="121"/>
      <c r="Y146" s="18"/>
    </row>
    <row r="147" spans="1:25" ht="14.25" customHeight="1">
      <c r="A147" s="15">
        <f t="shared" si="34"/>
        <v>142</v>
      </c>
      <c r="B147" s="15"/>
      <c r="C147" s="15"/>
      <c r="D147" s="219"/>
      <c r="E147" s="16"/>
      <c r="F147" s="16"/>
      <c r="G147" s="16"/>
      <c r="H147" s="398"/>
      <c r="I147" s="268"/>
      <c r="J147" s="25"/>
      <c r="K147" s="268"/>
      <c r="L147" s="268"/>
      <c r="M147" s="24"/>
      <c r="N147" s="15"/>
      <c r="O147" s="19"/>
      <c r="P147" s="15"/>
      <c r="Q147" s="24"/>
      <c r="R147" s="211"/>
      <c r="S147" s="15"/>
      <c r="T147" s="121"/>
      <c r="U147" s="121"/>
      <c r="V147" s="15"/>
      <c r="W147" s="121"/>
      <c r="X147" s="121"/>
      <c r="Y147" s="18"/>
    </row>
    <row r="148" spans="1:25" ht="14.25" customHeight="1">
      <c r="A148" s="15">
        <f t="shared" si="34"/>
        <v>143</v>
      </c>
      <c r="B148" s="25"/>
      <c r="C148" s="15"/>
      <c r="D148" s="219"/>
      <c r="E148" s="16"/>
      <c r="F148" s="16"/>
      <c r="G148" s="16"/>
      <c r="H148" s="398"/>
      <c r="I148" s="268"/>
      <c r="J148" s="25"/>
      <c r="K148" s="268"/>
      <c r="L148" s="268"/>
      <c r="M148" s="24"/>
      <c r="N148" s="15"/>
      <c r="O148" s="24"/>
      <c r="P148" s="25"/>
      <c r="Q148" s="24"/>
      <c r="R148" s="211"/>
      <c r="S148" s="15"/>
      <c r="T148" s="121"/>
      <c r="U148" s="121"/>
      <c r="V148" s="15"/>
      <c r="W148" s="121"/>
      <c r="X148" s="121"/>
      <c r="Y148" s="18"/>
    </row>
    <row r="149" spans="1:25" ht="14.25" customHeight="1">
      <c r="A149" s="15">
        <f t="shared" si="34"/>
        <v>144</v>
      </c>
      <c r="B149" s="25"/>
      <c r="C149" s="15"/>
      <c r="D149" s="219"/>
      <c r="E149" s="16"/>
      <c r="F149" s="16"/>
      <c r="G149" s="16"/>
      <c r="H149" s="398"/>
      <c r="I149" s="268"/>
      <c r="J149" s="16"/>
      <c r="K149" s="268"/>
      <c r="L149" s="268"/>
      <c r="M149" s="24"/>
      <c r="N149" s="15"/>
      <c r="O149" s="24"/>
      <c r="P149" s="25"/>
      <c r="Q149" s="24"/>
      <c r="R149" s="211"/>
      <c r="S149" s="15"/>
      <c r="T149" s="121"/>
      <c r="U149" s="121"/>
      <c r="V149" s="15"/>
      <c r="W149" s="121"/>
      <c r="X149" s="121"/>
      <c r="Y149" s="18"/>
    </row>
    <row r="150" spans="1:25" ht="14.25" customHeight="1">
      <c r="A150" s="15">
        <f t="shared" si="34"/>
        <v>145</v>
      </c>
      <c r="B150" s="25"/>
      <c r="C150" s="15"/>
      <c r="D150" s="219"/>
      <c r="E150" s="16"/>
      <c r="F150" s="16"/>
      <c r="G150" s="16"/>
      <c r="H150" s="398"/>
      <c r="I150" s="268"/>
      <c r="J150" s="16"/>
      <c r="K150" s="268"/>
      <c r="L150" s="268"/>
      <c r="M150" s="24"/>
      <c r="N150" s="15"/>
      <c r="O150" s="24"/>
      <c r="P150" s="25"/>
      <c r="Q150" s="24"/>
      <c r="R150" s="211"/>
      <c r="S150" s="15"/>
      <c r="T150" s="121"/>
      <c r="U150" s="121"/>
      <c r="V150" s="15"/>
      <c r="W150" s="121"/>
      <c r="X150" s="121"/>
      <c r="Y150" s="18"/>
    </row>
    <row r="151" spans="1:25" ht="14.25" customHeight="1">
      <c r="A151" s="15">
        <f t="shared" si="34"/>
        <v>146</v>
      </c>
      <c r="B151" s="25"/>
      <c r="C151" s="15"/>
      <c r="D151" s="219"/>
      <c r="E151" s="16"/>
      <c r="F151" s="16"/>
      <c r="G151" s="16"/>
      <c r="H151" s="398"/>
      <c r="I151" s="268"/>
      <c r="J151" s="16"/>
      <c r="K151" s="268"/>
      <c r="L151" s="268"/>
      <c r="M151" s="24"/>
      <c r="N151" s="15"/>
      <c r="O151" s="24"/>
      <c r="P151" s="25"/>
      <c r="Q151" s="24"/>
      <c r="R151" s="211"/>
      <c r="S151" s="15"/>
      <c r="T151" s="121"/>
      <c r="U151" s="121"/>
      <c r="V151" s="15"/>
      <c r="W151" s="121"/>
      <c r="X151" s="121"/>
      <c r="Y151" s="18"/>
    </row>
    <row r="152" spans="1:25" ht="14.25" customHeight="1">
      <c r="A152" s="15">
        <f t="shared" si="34"/>
        <v>147</v>
      </c>
      <c r="B152" s="25"/>
      <c r="C152" s="15"/>
      <c r="D152" s="219"/>
      <c r="E152" s="16"/>
      <c r="F152" s="16"/>
      <c r="G152" s="16"/>
      <c r="H152" s="398"/>
      <c r="I152" s="268"/>
      <c r="J152" s="16"/>
      <c r="K152" s="268"/>
      <c r="L152" s="268"/>
      <c r="M152" s="15"/>
      <c r="N152" s="15"/>
      <c r="O152" s="24"/>
      <c r="P152" s="25"/>
      <c r="Q152" s="24"/>
      <c r="R152" s="211"/>
      <c r="S152" s="15"/>
      <c r="T152" s="121"/>
      <c r="U152" s="121"/>
      <c r="V152" s="15"/>
      <c r="W152" s="121"/>
      <c r="X152" s="121"/>
      <c r="Y152" s="18"/>
    </row>
    <row r="153" spans="1:25" ht="14.25" customHeight="1">
      <c r="A153" s="15">
        <f t="shared" si="34"/>
        <v>148</v>
      </c>
      <c r="B153" s="25"/>
      <c r="C153" s="15"/>
      <c r="D153" s="219"/>
      <c r="E153" s="16"/>
      <c r="F153" s="16"/>
      <c r="G153" s="16"/>
      <c r="H153" s="398"/>
      <c r="I153" s="268"/>
      <c r="J153" s="16"/>
      <c r="K153" s="268"/>
      <c r="L153" s="268"/>
      <c r="M153" s="24"/>
      <c r="N153" s="15"/>
      <c r="O153" s="24"/>
      <c r="P153" s="25"/>
      <c r="Q153" s="24"/>
      <c r="R153" s="211"/>
      <c r="S153" s="15"/>
      <c r="T153" s="121"/>
      <c r="U153" s="121"/>
      <c r="V153" s="15"/>
      <c r="W153" s="121"/>
      <c r="X153" s="121"/>
      <c r="Y153" s="18"/>
    </row>
    <row r="154" spans="1:25" ht="14.25" customHeight="1">
      <c r="A154" s="15">
        <f t="shared" si="34"/>
        <v>149</v>
      </c>
      <c r="B154" s="25"/>
      <c r="C154" s="15"/>
      <c r="D154" s="219"/>
      <c r="E154" s="16"/>
      <c r="F154" s="16"/>
      <c r="G154" s="16"/>
      <c r="H154" s="398"/>
      <c r="I154" s="268"/>
      <c r="J154" s="16"/>
      <c r="K154" s="268"/>
      <c r="L154" s="268"/>
      <c r="M154" s="24"/>
      <c r="N154" s="15"/>
      <c r="O154" s="24"/>
      <c r="P154" s="25"/>
      <c r="Q154" s="24"/>
      <c r="R154" s="211"/>
      <c r="S154" s="15"/>
      <c r="T154" s="121"/>
      <c r="U154" s="121"/>
      <c r="V154" s="15"/>
      <c r="W154" s="121"/>
      <c r="X154" s="121"/>
      <c r="Y154" s="18"/>
    </row>
    <row r="155" spans="1:25" ht="14.25" customHeight="1">
      <c r="A155" s="15">
        <f t="shared" si="34"/>
        <v>150</v>
      </c>
      <c r="B155" s="25"/>
      <c r="C155" s="15"/>
      <c r="D155" s="219"/>
      <c r="E155" s="16"/>
      <c r="F155" s="16"/>
      <c r="G155" s="16"/>
      <c r="H155" s="398"/>
      <c r="I155" s="268"/>
      <c r="J155" s="25"/>
      <c r="K155" s="268"/>
      <c r="L155" s="268"/>
      <c r="M155" s="24"/>
      <c r="N155" s="15"/>
      <c r="O155" s="24"/>
      <c r="P155" s="25"/>
      <c r="Q155" s="24"/>
      <c r="R155" s="211"/>
      <c r="S155" s="15"/>
      <c r="T155" s="121"/>
      <c r="U155" s="121"/>
      <c r="V155" s="15"/>
      <c r="W155" s="121"/>
      <c r="X155" s="121"/>
      <c r="Y155" s="18"/>
    </row>
    <row r="156" spans="1:25" ht="14.25" customHeight="1">
      <c r="A156" s="15">
        <f t="shared" si="34"/>
        <v>151</v>
      </c>
      <c r="B156" s="25"/>
      <c r="C156" s="15"/>
      <c r="D156" s="16"/>
      <c r="E156" s="16"/>
      <c r="F156" s="15"/>
      <c r="G156" s="25"/>
      <c r="H156" s="398"/>
      <c r="I156" s="268"/>
      <c r="J156" s="25"/>
      <c r="K156" s="268"/>
      <c r="L156" s="268"/>
      <c r="M156" s="24"/>
      <c r="N156" s="15"/>
      <c r="O156" s="19"/>
      <c r="P156" s="15"/>
      <c r="Q156" s="15"/>
      <c r="R156" s="215"/>
      <c r="S156" s="15"/>
      <c r="T156" s="121"/>
      <c r="U156" s="121"/>
      <c r="V156" s="15"/>
      <c r="W156" s="121"/>
      <c r="X156" s="121"/>
      <c r="Y156" s="18"/>
    </row>
    <row r="157" spans="1:25" ht="14.25" customHeight="1">
      <c r="A157" s="15">
        <f t="shared" si="34"/>
        <v>152</v>
      </c>
      <c r="B157" s="25"/>
      <c r="C157" s="15"/>
      <c r="D157" s="16"/>
      <c r="E157" s="16"/>
      <c r="F157" s="15"/>
      <c r="G157" s="25"/>
      <c r="H157" s="398"/>
      <c r="I157" s="268"/>
      <c r="J157" s="25"/>
      <c r="K157" s="268"/>
      <c r="L157" s="268"/>
      <c r="M157" s="24"/>
      <c r="N157" s="15"/>
      <c r="O157" s="19"/>
      <c r="P157" s="15"/>
      <c r="Q157" s="15"/>
      <c r="R157" s="215"/>
      <c r="S157" s="15"/>
      <c r="T157" s="121"/>
      <c r="U157" s="121"/>
      <c r="V157" s="15"/>
      <c r="W157" s="121"/>
      <c r="X157" s="121"/>
      <c r="Y157" s="18"/>
    </row>
    <row r="158" spans="1:25" ht="14.25" customHeight="1">
      <c r="A158" s="15">
        <f t="shared" si="34"/>
        <v>153</v>
      </c>
      <c r="B158" s="25"/>
      <c r="C158" s="15"/>
      <c r="D158" s="16"/>
      <c r="E158" s="16"/>
      <c r="F158" s="15"/>
      <c r="G158" s="25"/>
      <c r="H158" s="398"/>
      <c r="I158" s="268"/>
      <c r="J158" s="25"/>
      <c r="K158" s="268"/>
      <c r="L158" s="268"/>
      <c r="M158" s="24"/>
      <c r="N158" s="121"/>
      <c r="O158" s="19"/>
      <c r="P158" s="15"/>
      <c r="Q158" s="15"/>
      <c r="R158" s="215"/>
      <c r="S158" s="15"/>
      <c r="T158" s="121"/>
      <c r="U158" s="121"/>
      <c r="V158" s="15"/>
      <c r="W158" s="121"/>
      <c r="X158" s="121"/>
      <c r="Y158" s="18"/>
    </row>
    <row r="159" spans="1:25" ht="14.25" customHeight="1">
      <c r="A159" s="15">
        <f t="shared" si="34"/>
        <v>154</v>
      </c>
      <c r="B159" s="25"/>
      <c r="C159" s="15"/>
      <c r="D159" s="16"/>
      <c r="E159" s="16"/>
      <c r="F159" s="15"/>
      <c r="G159" s="25"/>
      <c r="H159" s="398"/>
      <c r="I159" s="268"/>
      <c r="J159" s="25"/>
      <c r="K159" s="268"/>
      <c r="L159" s="268"/>
      <c r="M159" s="15"/>
      <c r="N159" s="15"/>
      <c r="O159" s="19"/>
      <c r="P159" s="25"/>
      <c r="Q159" s="24"/>
      <c r="R159" s="211"/>
      <c r="S159" s="15"/>
      <c r="T159" s="121"/>
      <c r="U159" s="121"/>
      <c r="V159" s="15"/>
      <c r="W159" s="121"/>
      <c r="X159" s="121"/>
      <c r="Y159" s="18"/>
    </row>
    <row r="160" spans="1:25" ht="14.25" customHeight="1">
      <c r="A160" s="15">
        <f t="shared" si="34"/>
        <v>155</v>
      </c>
      <c r="B160" s="25"/>
      <c r="C160" s="15"/>
      <c r="D160" s="16"/>
      <c r="E160" s="16"/>
      <c r="F160" s="15"/>
      <c r="G160" s="25"/>
      <c r="H160" s="398"/>
      <c r="I160" s="268"/>
      <c r="J160" s="25"/>
      <c r="K160" s="268"/>
      <c r="L160" s="268"/>
      <c r="M160" s="24"/>
      <c r="N160" s="15"/>
      <c r="O160" s="19"/>
      <c r="P160" s="15"/>
      <c r="Q160" s="24"/>
      <c r="R160" s="211"/>
      <c r="S160" s="15"/>
      <c r="T160" s="121"/>
      <c r="U160" s="121"/>
      <c r="V160" s="15"/>
      <c r="W160" s="121"/>
      <c r="X160" s="121"/>
      <c r="Y160" s="18"/>
    </row>
    <row r="161" spans="1:25" ht="14.25" customHeight="1">
      <c r="A161" s="15">
        <f t="shared" si="34"/>
        <v>156</v>
      </c>
      <c r="B161" s="25"/>
      <c r="C161" s="15"/>
      <c r="D161" s="16"/>
      <c r="E161" s="16"/>
      <c r="F161" s="15"/>
      <c r="G161" s="16"/>
      <c r="H161" s="398"/>
      <c r="I161" s="268"/>
      <c r="J161" s="25"/>
      <c r="K161" s="268"/>
      <c r="L161" s="268"/>
      <c r="M161" s="24"/>
      <c r="N161" s="15"/>
      <c r="O161" s="19"/>
      <c r="P161" s="15"/>
      <c r="Q161" s="24"/>
      <c r="R161" s="211"/>
      <c r="S161" s="15"/>
      <c r="T161" s="121"/>
      <c r="U161" s="121"/>
      <c r="V161" s="15"/>
      <c r="W161" s="121"/>
      <c r="X161" s="121"/>
      <c r="Y161" s="18"/>
    </row>
    <row r="162" spans="1:25" ht="14.25" customHeight="1">
      <c r="A162" s="15">
        <f t="shared" si="34"/>
        <v>157</v>
      </c>
      <c r="B162" s="25"/>
      <c r="C162" s="15"/>
      <c r="D162" s="16"/>
      <c r="E162" s="16"/>
      <c r="F162" s="16"/>
      <c r="G162" s="16"/>
      <c r="H162" s="398"/>
      <c r="I162" s="268"/>
      <c r="J162" s="25"/>
      <c r="K162" s="268"/>
      <c r="L162" s="268"/>
      <c r="M162" s="24"/>
      <c r="N162" s="15"/>
      <c r="O162" s="19"/>
      <c r="P162" s="15"/>
      <c r="Q162" s="24"/>
      <c r="R162" s="211"/>
      <c r="S162" s="15"/>
      <c r="T162" s="121"/>
      <c r="U162" s="121"/>
      <c r="V162" s="15"/>
      <c r="W162" s="121"/>
      <c r="X162" s="121"/>
      <c r="Y162" s="18"/>
    </row>
    <row r="163" spans="1:25" ht="14.25" customHeight="1">
      <c r="A163" s="15">
        <f t="shared" si="34"/>
        <v>158</v>
      </c>
      <c r="B163" s="25"/>
      <c r="C163" s="15"/>
      <c r="D163" s="16"/>
      <c r="E163" s="16"/>
      <c r="F163" s="16"/>
      <c r="G163" s="16"/>
      <c r="H163" s="398"/>
      <c r="I163" s="268"/>
      <c r="J163" s="25"/>
      <c r="K163" s="268"/>
      <c r="L163" s="268"/>
      <c r="M163" s="24"/>
      <c r="N163" s="15"/>
      <c r="O163" s="19"/>
      <c r="P163" s="15"/>
      <c r="Q163" s="24"/>
      <c r="R163" s="211"/>
      <c r="S163" s="15"/>
      <c r="T163" s="121"/>
      <c r="U163" s="121"/>
      <c r="V163" s="15"/>
      <c r="W163" s="121"/>
      <c r="X163" s="121"/>
      <c r="Y163" s="18"/>
    </row>
    <row r="164" spans="1:25" ht="14.25" customHeight="1">
      <c r="A164" s="15">
        <f t="shared" si="34"/>
        <v>159</v>
      </c>
      <c r="B164" s="25"/>
      <c r="C164" s="15"/>
      <c r="D164" s="16"/>
      <c r="E164" s="16"/>
      <c r="F164" s="16"/>
      <c r="G164" s="16"/>
      <c r="H164" s="398"/>
      <c r="I164" s="268"/>
      <c r="J164" s="25"/>
      <c r="K164" s="268"/>
      <c r="L164" s="268"/>
      <c r="M164" s="24"/>
      <c r="N164" s="15"/>
      <c r="O164" s="24"/>
      <c r="P164" s="25"/>
      <c r="Q164" s="24"/>
      <c r="R164" s="211"/>
      <c r="S164" s="15"/>
      <c r="T164" s="121"/>
      <c r="U164" s="121"/>
      <c r="V164" s="15"/>
      <c r="W164" s="121"/>
      <c r="X164" s="121"/>
      <c r="Y164" s="18"/>
    </row>
    <row r="165" spans="1:25" ht="14.25" customHeight="1">
      <c r="A165" s="15">
        <f t="shared" si="34"/>
        <v>160</v>
      </c>
      <c r="B165" s="25"/>
      <c r="C165" s="15"/>
      <c r="D165" s="16"/>
      <c r="E165" s="16"/>
      <c r="F165" s="16"/>
      <c r="G165" s="16"/>
      <c r="H165" s="398"/>
      <c r="I165" s="268"/>
      <c r="J165" s="25"/>
      <c r="K165" s="268"/>
      <c r="L165" s="268"/>
      <c r="M165" s="24"/>
      <c r="N165" s="15"/>
      <c r="O165" s="24"/>
      <c r="P165" s="25"/>
      <c r="Q165" s="24"/>
      <c r="R165" s="211"/>
      <c r="S165" s="15"/>
      <c r="T165" s="121"/>
      <c r="U165" s="121"/>
      <c r="V165" s="15"/>
      <c r="W165" s="121"/>
      <c r="X165" s="121"/>
      <c r="Y165" s="18"/>
    </row>
    <row r="166" spans="1:25" ht="14.25" customHeight="1">
      <c r="A166" s="15">
        <f t="shared" si="34"/>
        <v>161</v>
      </c>
      <c r="B166" s="25"/>
      <c r="C166" s="15"/>
      <c r="D166" s="16"/>
      <c r="E166" s="16"/>
      <c r="F166" s="16"/>
      <c r="G166" s="16"/>
      <c r="H166" s="398"/>
      <c r="I166" s="268"/>
      <c r="J166" s="25"/>
      <c r="K166" s="268"/>
      <c r="L166" s="268"/>
      <c r="M166" s="24"/>
      <c r="N166" s="15"/>
      <c r="O166" s="24"/>
      <c r="P166" s="25"/>
      <c r="Q166" s="24"/>
      <c r="R166" s="211"/>
      <c r="S166" s="15"/>
      <c r="T166" s="121"/>
      <c r="U166" s="121"/>
      <c r="V166" s="15"/>
      <c r="W166" s="121"/>
      <c r="X166" s="121"/>
      <c r="Y166" s="18"/>
    </row>
    <row r="167" spans="1:25" ht="14.25" customHeight="1">
      <c r="A167" s="15">
        <f t="shared" si="34"/>
        <v>162</v>
      </c>
      <c r="B167" s="25"/>
      <c r="C167" s="15"/>
      <c r="D167" s="16"/>
      <c r="E167" s="16"/>
      <c r="F167" s="16"/>
      <c r="G167" s="16"/>
      <c r="H167" s="398"/>
      <c r="I167" s="268"/>
      <c r="J167" s="25"/>
      <c r="K167" s="268"/>
      <c r="L167" s="268"/>
      <c r="M167" s="24"/>
      <c r="N167" s="15"/>
      <c r="O167" s="24"/>
      <c r="P167" s="25"/>
      <c r="Q167" s="24"/>
      <c r="R167" s="211"/>
      <c r="S167" s="15"/>
      <c r="T167" s="121"/>
      <c r="U167" s="121"/>
      <c r="V167" s="15"/>
      <c r="W167" s="121"/>
      <c r="X167" s="121"/>
      <c r="Y167" s="18"/>
    </row>
    <row r="168" spans="1:25" ht="14.25" customHeight="1">
      <c r="A168" s="15">
        <f t="shared" si="34"/>
        <v>163</v>
      </c>
      <c r="B168" s="25"/>
      <c r="C168" s="15"/>
      <c r="D168" s="16"/>
      <c r="E168" s="16"/>
      <c r="F168" s="16"/>
      <c r="G168" s="16"/>
      <c r="H168" s="398"/>
      <c r="I168" s="268"/>
      <c r="J168" s="25"/>
      <c r="K168" s="268"/>
      <c r="L168" s="268"/>
      <c r="M168" s="24"/>
      <c r="N168" s="15"/>
      <c r="O168" s="24"/>
      <c r="P168" s="25"/>
      <c r="Q168" s="24"/>
      <c r="R168" s="211"/>
      <c r="S168" s="15"/>
      <c r="T168" s="121"/>
      <c r="U168" s="121"/>
      <c r="V168" s="15"/>
      <c r="W168" s="121"/>
      <c r="X168" s="121"/>
      <c r="Y168" s="18"/>
    </row>
    <row r="169" spans="1:25" ht="14.25" customHeight="1">
      <c r="A169" s="15">
        <f t="shared" si="34"/>
        <v>164</v>
      </c>
      <c r="B169" s="25"/>
      <c r="C169" s="15"/>
      <c r="D169" s="16"/>
      <c r="E169" s="16"/>
      <c r="F169" s="16"/>
      <c r="G169" s="16"/>
      <c r="H169" s="398"/>
      <c r="I169" s="268"/>
      <c r="J169" s="15"/>
      <c r="K169" s="268"/>
      <c r="L169" s="268"/>
      <c r="M169" s="24"/>
      <c r="N169" s="15"/>
      <c r="O169" s="24"/>
      <c r="P169" s="25"/>
      <c r="Q169" s="24"/>
      <c r="R169" s="211"/>
      <c r="S169" s="15"/>
      <c r="T169" s="121"/>
      <c r="U169" s="121"/>
      <c r="V169" s="15"/>
      <c r="W169" s="121"/>
      <c r="X169" s="121"/>
      <c r="Y169" s="18"/>
    </row>
    <row r="170" spans="1:25" ht="14.25" customHeight="1">
      <c r="A170" s="15">
        <f t="shared" si="34"/>
        <v>165</v>
      </c>
      <c r="B170" s="25"/>
      <c r="C170" s="15"/>
      <c r="D170" s="16"/>
      <c r="E170" s="16"/>
      <c r="F170" s="16"/>
      <c r="G170" s="16"/>
      <c r="H170" s="398"/>
      <c r="I170" s="268"/>
      <c r="J170" s="15"/>
      <c r="K170" s="268"/>
      <c r="L170" s="268"/>
      <c r="M170" s="24"/>
      <c r="N170" s="15"/>
      <c r="O170" s="24"/>
      <c r="P170" s="25"/>
      <c r="Q170" s="24"/>
      <c r="R170" s="211"/>
      <c r="S170" s="15"/>
      <c r="T170" s="121"/>
      <c r="U170" s="121"/>
      <c r="V170" s="15"/>
      <c r="W170" s="121"/>
      <c r="X170" s="121"/>
      <c r="Y170" s="18"/>
    </row>
    <row r="171" spans="1:25" ht="14.25" customHeight="1">
      <c r="A171" s="15">
        <f t="shared" si="34"/>
        <v>166</v>
      </c>
      <c r="B171" s="25"/>
      <c r="C171" s="15"/>
      <c r="D171" s="16"/>
      <c r="E171" s="16"/>
      <c r="F171" s="16"/>
      <c r="G171" s="16"/>
      <c r="H171" s="398"/>
      <c r="I171" s="268"/>
      <c r="J171" s="15"/>
      <c r="K171" s="268"/>
      <c r="L171" s="268"/>
      <c r="M171" s="24"/>
      <c r="N171" s="15"/>
      <c r="O171" s="24"/>
      <c r="P171" s="25"/>
      <c r="Q171" s="24"/>
      <c r="R171" s="211"/>
      <c r="S171" s="15"/>
      <c r="T171" s="121"/>
      <c r="U171" s="121"/>
      <c r="V171" s="15"/>
      <c r="W171" s="121"/>
      <c r="X171" s="12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398"/>
      <c r="I172" s="268"/>
      <c r="J172" s="16"/>
      <c r="K172" s="268"/>
      <c r="L172" s="268"/>
      <c r="M172" s="24"/>
      <c r="N172" s="15"/>
      <c r="O172" s="172"/>
      <c r="P172" s="15"/>
      <c r="Q172" s="24"/>
      <c r="R172" s="211"/>
      <c r="S172" s="15"/>
      <c r="T172" s="121"/>
      <c r="U172" s="121"/>
      <c r="V172" s="15"/>
      <c r="W172" s="121"/>
      <c r="X172" s="12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398"/>
      <c r="I173" s="268"/>
      <c r="J173" s="16"/>
      <c r="K173" s="268"/>
      <c r="L173" s="268"/>
      <c r="M173" s="15"/>
      <c r="N173" s="15"/>
      <c r="O173" s="24"/>
      <c r="P173" s="15"/>
      <c r="Q173" s="24"/>
      <c r="R173" s="211"/>
      <c r="S173" s="15"/>
      <c r="T173" s="121"/>
      <c r="U173" s="121"/>
      <c r="V173" s="15"/>
      <c r="W173" s="121"/>
      <c r="X173" s="12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398"/>
      <c r="I174" s="268"/>
      <c r="J174" s="16"/>
      <c r="K174" s="268"/>
      <c r="L174" s="268"/>
      <c r="M174" s="24"/>
      <c r="N174" s="15"/>
      <c r="O174" s="24"/>
      <c r="P174" s="15"/>
      <c r="Q174" s="24"/>
      <c r="R174" s="211"/>
      <c r="S174" s="15"/>
      <c r="T174" s="121"/>
      <c r="U174" s="121"/>
      <c r="V174" s="15"/>
      <c r="W174" s="121"/>
      <c r="X174" s="12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398"/>
      <c r="I175" s="268"/>
      <c r="J175" s="16"/>
      <c r="K175" s="268"/>
      <c r="L175" s="268"/>
      <c r="M175" s="24"/>
      <c r="N175" s="15"/>
      <c r="O175" s="24"/>
      <c r="P175" s="15"/>
      <c r="Q175" s="24"/>
      <c r="R175" s="211"/>
      <c r="S175" s="15"/>
      <c r="T175" s="121"/>
      <c r="U175" s="121"/>
      <c r="V175" s="15"/>
      <c r="W175" s="121"/>
      <c r="X175" s="12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398"/>
      <c r="I176" s="268"/>
      <c r="J176" s="16"/>
      <c r="K176" s="268"/>
      <c r="L176" s="268"/>
      <c r="M176" s="24"/>
      <c r="N176" s="15"/>
      <c r="O176" s="24"/>
      <c r="P176" s="15"/>
      <c r="Q176" s="24"/>
      <c r="R176" s="211"/>
      <c r="S176" s="15"/>
      <c r="T176" s="121"/>
      <c r="U176" s="121"/>
      <c r="V176" s="15"/>
      <c r="W176" s="121"/>
      <c r="X176" s="12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398"/>
      <c r="I177" s="268"/>
      <c r="J177" s="16"/>
      <c r="K177" s="268"/>
      <c r="L177" s="268"/>
      <c r="M177" s="24"/>
      <c r="N177" s="15"/>
      <c r="O177" s="24"/>
      <c r="P177" s="15"/>
      <c r="Q177" s="24"/>
      <c r="R177" s="211"/>
      <c r="S177" s="15"/>
      <c r="T177" s="121"/>
      <c r="U177" s="121"/>
      <c r="V177" s="15"/>
      <c r="W177" s="121"/>
      <c r="X177" s="12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398"/>
      <c r="I178" s="268"/>
      <c r="J178" s="16"/>
      <c r="K178" s="268"/>
      <c r="L178" s="268"/>
      <c r="M178" s="24"/>
      <c r="N178" s="15"/>
      <c r="O178" s="24"/>
      <c r="P178" s="15"/>
      <c r="Q178" s="24"/>
      <c r="R178" s="211"/>
      <c r="S178" s="15"/>
      <c r="T178" s="121"/>
      <c r="U178" s="121"/>
      <c r="V178" s="15"/>
      <c r="W178" s="121"/>
      <c r="X178" s="12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398"/>
      <c r="I179" s="268"/>
      <c r="J179" s="16"/>
      <c r="K179" s="268"/>
      <c r="L179" s="268"/>
      <c r="M179" s="24"/>
      <c r="N179" s="15"/>
      <c r="O179" s="24"/>
      <c r="P179" s="15"/>
      <c r="Q179" s="24"/>
      <c r="R179" s="211"/>
      <c r="S179" s="15"/>
      <c r="T179" s="121"/>
      <c r="U179" s="121"/>
      <c r="V179" s="15"/>
      <c r="W179" s="121"/>
      <c r="X179" s="12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398"/>
      <c r="I180" s="268"/>
      <c r="J180" s="16"/>
      <c r="K180" s="268"/>
      <c r="L180" s="268"/>
      <c r="M180" s="24"/>
      <c r="N180" s="15"/>
      <c r="O180" s="24"/>
      <c r="P180" s="15"/>
      <c r="Q180" s="24"/>
      <c r="R180" s="211"/>
      <c r="S180" s="15"/>
      <c r="T180" s="121"/>
      <c r="U180" s="121"/>
      <c r="V180" s="15"/>
      <c r="W180" s="121"/>
      <c r="X180" s="12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398"/>
      <c r="I181" s="268"/>
      <c r="J181" s="16"/>
      <c r="K181" s="268"/>
      <c r="L181" s="268"/>
      <c r="M181" s="24"/>
      <c r="N181" s="15"/>
      <c r="O181" s="24"/>
      <c r="P181" s="15"/>
      <c r="Q181" s="24"/>
      <c r="R181" s="211"/>
      <c r="S181" s="15"/>
      <c r="T181" s="121"/>
      <c r="U181" s="121"/>
      <c r="V181" s="15"/>
      <c r="W181" s="121"/>
      <c r="X181" s="12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24"/>
      <c r="I182" s="121"/>
      <c r="J182" s="16"/>
      <c r="K182" s="268"/>
      <c r="L182" s="268"/>
      <c r="M182" s="24"/>
      <c r="N182" s="15"/>
      <c r="O182" s="24"/>
      <c r="P182" s="15"/>
      <c r="Q182" s="24"/>
      <c r="R182" s="211"/>
      <c r="S182" s="15"/>
      <c r="T182" s="121"/>
      <c r="U182" s="121"/>
      <c r="V182" s="15"/>
      <c r="W182" s="121"/>
      <c r="X182" s="12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24"/>
      <c r="I183" s="121"/>
      <c r="J183" s="16"/>
      <c r="K183" s="268"/>
      <c r="L183" s="268"/>
      <c r="M183" s="15"/>
      <c r="N183" s="15"/>
      <c r="O183" s="24"/>
      <c r="P183" s="15"/>
      <c r="Q183" s="24"/>
      <c r="R183" s="211"/>
      <c r="S183" s="15"/>
      <c r="T183" s="121"/>
      <c r="U183" s="121"/>
      <c r="V183" s="15"/>
      <c r="W183" s="121"/>
      <c r="X183" s="12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24"/>
      <c r="I184" s="121"/>
      <c r="J184" s="16"/>
      <c r="K184" s="268"/>
      <c r="L184" s="268"/>
      <c r="M184" s="24"/>
      <c r="N184" s="15"/>
      <c r="O184" s="24"/>
      <c r="P184" s="15"/>
      <c r="Q184" s="24"/>
      <c r="R184" s="211"/>
      <c r="S184" s="15"/>
      <c r="T184" s="121"/>
      <c r="U184" s="121"/>
      <c r="V184" s="15"/>
      <c r="W184" s="121"/>
      <c r="X184" s="12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24"/>
      <c r="I185" s="121"/>
      <c r="J185" s="16"/>
      <c r="K185" s="268"/>
      <c r="L185" s="268"/>
      <c r="M185" s="24"/>
      <c r="N185" s="15"/>
      <c r="O185" s="24"/>
      <c r="P185" s="15"/>
      <c r="Q185" s="24"/>
      <c r="R185" s="211"/>
      <c r="S185" s="15"/>
      <c r="T185" s="121"/>
      <c r="U185" s="121"/>
      <c r="V185" s="15"/>
      <c r="W185" s="121"/>
      <c r="X185" s="12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24"/>
      <c r="I186" s="121"/>
      <c r="J186" s="16"/>
      <c r="K186" s="268"/>
      <c r="L186" s="268"/>
      <c r="M186" s="24"/>
      <c r="N186" s="15"/>
      <c r="O186" s="24"/>
      <c r="P186" s="15"/>
      <c r="Q186" s="24"/>
      <c r="R186" s="211"/>
      <c r="S186" s="15"/>
      <c r="T186" s="121"/>
      <c r="U186" s="121"/>
      <c r="V186" s="15"/>
      <c r="W186" s="121"/>
      <c r="X186" s="12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24"/>
      <c r="I187" s="121"/>
      <c r="J187" s="16"/>
      <c r="K187" s="268"/>
      <c r="L187" s="268"/>
      <c r="M187" s="15"/>
      <c r="N187" s="15"/>
      <c r="O187" s="24"/>
      <c r="P187" s="15"/>
      <c r="Q187" s="24"/>
      <c r="R187" s="211"/>
      <c r="S187" s="15"/>
      <c r="T187" s="121"/>
      <c r="U187" s="121"/>
      <c r="V187" s="15"/>
      <c r="W187" s="121"/>
      <c r="X187" s="12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24"/>
      <c r="I188" s="121"/>
      <c r="J188" s="16"/>
      <c r="K188" s="268"/>
      <c r="L188" s="268"/>
      <c r="M188" s="15"/>
      <c r="N188" s="15"/>
      <c r="O188" s="100"/>
      <c r="P188" s="35"/>
      <c r="Q188" s="24"/>
      <c r="R188" s="211"/>
      <c r="S188" s="15"/>
      <c r="T188" s="121"/>
      <c r="U188" s="121"/>
      <c r="V188" s="15"/>
      <c r="W188" s="121"/>
      <c r="X188" s="12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24"/>
      <c r="I189" s="121"/>
      <c r="J189" s="16"/>
      <c r="K189" s="121"/>
      <c r="L189" s="121"/>
      <c r="M189" s="24"/>
      <c r="N189" s="15"/>
      <c r="O189" s="100"/>
      <c r="P189" s="35"/>
      <c r="Q189" s="24"/>
      <c r="R189" s="211"/>
      <c r="S189" s="15"/>
      <c r="T189" s="121"/>
      <c r="U189" s="121"/>
      <c r="V189" s="15"/>
      <c r="W189" s="121"/>
      <c r="X189" s="12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24"/>
      <c r="I190" s="121"/>
      <c r="J190" s="16"/>
      <c r="K190" s="121"/>
      <c r="L190" s="121"/>
      <c r="M190" s="15"/>
      <c r="N190" s="15"/>
      <c r="O190" s="100"/>
      <c r="P190" s="35"/>
      <c r="Q190" s="24"/>
      <c r="R190" s="211"/>
      <c r="S190" s="15"/>
      <c r="T190" s="121"/>
      <c r="U190" s="121"/>
      <c r="V190" s="15"/>
      <c r="W190" s="121"/>
      <c r="X190" s="12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24"/>
      <c r="I191" s="121"/>
      <c r="J191" s="16"/>
      <c r="K191" s="121"/>
      <c r="L191" s="121"/>
      <c r="M191" s="24"/>
      <c r="N191" s="15"/>
      <c r="O191" s="100"/>
      <c r="P191" s="35"/>
      <c r="Q191" s="35"/>
      <c r="R191" s="212"/>
      <c r="S191" s="15"/>
      <c r="T191" s="121"/>
      <c r="U191" s="121"/>
      <c r="V191" s="15"/>
      <c r="W191" s="121"/>
      <c r="X191" s="12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24"/>
      <c r="I192" s="121"/>
      <c r="J192" s="16"/>
      <c r="K192" s="121"/>
      <c r="L192" s="121"/>
      <c r="M192" s="15"/>
      <c r="N192" s="24"/>
      <c r="O192" s="100"/>
      <c r="P192" s="35"/>
      <c r="Q192" s="24"/>
      <c r="R192" s="211"/>
      <c r="S192" s="15"/>
      <c r="T192" s="121"/>
      <c r="U192" s="121"/>
      <c r="V192" s="15"/>
      <c r="W192" s="121"/>
      <c r="X192" s="12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24"/>
      <c r="I193" s="121"/>
      <c r="J193" s="16"/>
      <c r="K193" s="121"/>
      <c r="L193" s="121"/>
      <c r="M193" s="15"/>
      <c r="N193" s="24"/>
      <c r="O193" s="24"/>
      <c r="P193" s="25"/>
      <c r="Q193" s="24"/>
      <c r="R193" s="211"/>
      <c r="S193" s="15"/>
      <c r="T193" s="121"/>
      <c r="U193" s="121"/>
      <c r="V193" s="15"/>
      <c r="W193" s="121"/>
      <c r="X193" s="12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24"/>
      <c r="I194" s="121"/>
      <c r="J194" s="16"/>
      <c r="K194" s="121"/>
      <c r="L194" s="121"/>
      <c r="M194" s="24"/>
      <c r="N194" s="24"/>
      <c r="O194" s="24"/>
      <c r="P194" s="15"/>
      <c r="Q194" s="24"/>
      <c r="R194" s="211"/>
      <c r="S194" s="15"/>
      <c r="T194" s="121"/>
      <c r="U194" s="121"/>
      <c r="V194" s="15"/>
      <c r="W194" s="121"/>
      <c r="X194" s="12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24"/>
      <c r="I195" s="121"/>
      <c r="J195" s="16"/>
      <c r="K195" s="121"/>
      <c r="L195" s="121"/>
      <c r="M195" s="24"/>
      <c r="N195" s="24"/>
      <c r="O195" s="24"/>
      <c r="P195" s="15"/>
      <c r="Q195" s="24"/>
      <c r="R195" s="211"/>
      <c r="S195" s="15"/>
      <c r="T195" s="121"/>
      <c r="U195" s="121"/>
      <c r="V195" s="15"/>
      <c r="W195" s="121"/>
      <c r="X195" s="12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24"/>
      <c r="I196" s="121"/>
      <c r="J196" s="16"/>
      <c r="K196" s="121"/>
      <c r="L196" s="121"/>
      <c r="M196" s="24"/>
      <c r="N196" s="24"/>
      <c r="O196" s="24"/>
      <c r="P196" s="25"/>
      <c r="Q196" s="24"/>
      <c r="R196" s="211"/>
      <c r="S196" s="15"/>
      <c r="T196" s="121"/>
      <c r="U196" s="121"/>
      <c r="V196" s="15"/>
      <c r="W196" s="121"/>
      <c r="X196" s="12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24"/>
      <c r="I197" s="121"/>
      <c r="J197" s="16"/>
      <c r="K197" s="121"/>
      <c r="L197" s="121"/>
      <c r="M197" s="24"/>
      <c r="N197" s="15"/>
      <c r="O197" s="24"/>
      <c r="P197" s="25"/>
      <c r="Q197" s="24"/>
      <c r="R197" s="211"/>
      <c r="S197" s="15"/>
      <c r="T197" s="121"/>
      <c r="U197" s="121"/>
      <c r="V197" s="15"/>
      <c r="W197" s="121"/>
      <c r="X197" s="12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24"/>
      <c r="I198" s="121"/>
      <c r="J198" s="16"/>
      <c r="K198" s="121"/>
      <c r="L198" s="121"/>
      <c r="M198" s="24"/>
      <c r="N198" s="15"/>
      <c r="O198" s="172"/>
      <c r="P198" s="15"/>
      <c r="Q198" s="24"/>
      <c r="R198" s="211"/>
      <c r="S198" s="15"/>
      <c r="T198" s="121"/>
      <c r="U198" s="121"/>
      <c r="V198" s="15"/>
      <c r="W198" s="121"/>
      <c r="X198" s="12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24"/>
      <c r="I199" s="121"/>
      <c r="J199" s="16"/>
      <c r="K199" s="121"/>
      <c r="L199" s="121"/>
      <c r="M199" s="24"/>
      <c r="N199" s="15"/>
      <c r="O199" s="172"/>
      <c r="P199" s="15"/>
      <c r="Q199" s="24"/>
      <c r="R199" s="211"/>
      <c r="S199" s="15"/>
      <c r="T199" s="121"/>
      <c r="U199" s="121"/>
      <c r="V199" s="15"/>
      <c r="W199" s="121"/>
      <c r="X199" s="12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24"/>
      <c r="I200" s="121"/>
      <c r="J200" s="16"/>
      <c r="K200" s="121"/>
      <c r="L200" s="121"/>
      <c r="M200" s="24"/>
      <c r="N200" s="15"/>
      <c r="O200" s="172"/>
      <c r="P200" s="15"/>
      <c r="Q200" s="24"/>
      <c r="R200" s="211"/>
      <c r="S200" s="15"/>
      <c r="T200" s="121"/>
      <c r="U200" s="121"/>
      <c r="V200" s="15"/>
      <c r="W200" s="121"/>
      <c r="X200" s="12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24"/>
      <c r="I201" s="121"/>
      <c r="J201" s="16"/>
      <c r="K201" s="121"/>
      <c r="L201" s="121"/>
      <c r="M201" s="24"/>
      <c r="N201" s="15"/>
      <c r="O201" s="172"/>
      <c r="P201" s="15"/>
      <c r="Q201" s="24"/>
      <c r="R201" s="211"/>
      <c r="S201" s="15"/>
      <c r="T201" s="121"/>
      <c r="U201" s="121"/>
      <c r="V201" s="15"/>
      <c r="W201" s="121"/>
      <c r="X201" s="12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24"/>
      <c r="I202" s="121"/>
      <c r="J202" s="16"/>
      <c r="K202" s="121"/>
      <c r="L202" s="121"/>
      <c r="M202" s="15"/>
      <c r="N202" s="15"/>
      <c r="O202" s="172"/>
      <c r="P202" s="15"/>
      <c r="Q202" s="24"/>
      <c r="R202" s="211"/>
      <c r="S202" s="15"/>
      <c r="T202" s="121"/>
      <c r="U202" s="121"/>
      <c r="V202" s="15"/>
      <c r="W202" s="121"/>
      <c r="X202" s="12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24"/>
      <c r="I203" s="121"/>
      <c r="J203" s="16"/>
      <c r="K203" s="121"/>
      <c r="L203" s="121"/>
      <c r="M203" s="24"/>
      <c r="N203" s="15"/>
      <c r="O203" s="24"/>
      <c r="P203" s="15"/>
      <c r="Q203" s="24"/>
      <c r="R203" s="211"/>
      <c r="S203" s="15"/>
      <c r="T203" s="121"/>
      <c r="U203" s="121"/>
      <c r="V203" s="15"/>
      <c r="W203" s="121"/>
      <c r="X203" s="12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24"/>
      <c r="I204" s="121"/>
      <c r="J204" s="16"/>
      <c r="K204" s="121"/>
      <c r="L204" s="121"/>
      <c r="M204" s="24"/>
      <c r="N204" s="15"/>
      <c r="O204" s="24"/>
      <c r="P204" s="15"/>
      <c r="Q204" s="24"/>
      <c r="R204" s="211"/>
      <c r="S204" s="15"/>
      <c r="T204" s="121"/>
      <c r="U204" s="121"/>
      <c r="V204" s="15"/>
      <c r="W204" s="121"/>
      <c r="X204" s="12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24"/>
      <c r="I205" s="121"/>
      <c r="J205" s="16"/>
      <c r="K205" s="121"/>
      <c r="L205" s="121"/>
      <c r="M205" s="24"/>
      <c r="N205" s="15"/>
      <c r="O205" s="24"/>
      <c r="P205" s="15"/>
      <c r="Q205" s="24"/>
      <c r="R205" s="211"/>
      <c r="S205" s="15"/>
      <c r="T205" s="121"/>
      <c r="U205" s="121"/>
      <c r="V205" s="15"/>
      <c r="W205" s="121"/>
      <c r="X205" s="12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24"/>
      <c r="I206" s="121"/>
      <c r="J206" s="16"/>
      <c r="K206" s="121"/>
      <c r="L206" s="121"/>
      <c r="M206" s="24"/>
      <c r="N206" s="15"/>
      <c r="O206" s="24"/>
      <c r="P206" s="15"/>
      <c r="Q206" s="24"/>
      <c r="R206" s="211"/>
      <c r="S206" s="15"/>
      <c r="T206" s="121"/>
      <c r="U206" s="121"/>
      <c r="V206" s="15"/>
      <c r="W206" s="121"/>
      <c r="X206" s="12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24"/>
      <c r="I207" s="121"/>
      <c r="J207" s="16"/>
      <c r="K207" s="121"/>
      <c r="L207" s="121"/>
      <c r="M207" s="24"/>
      <c r="N207" s="15"/>
      <c r="O207" s="24"/>
      <c r="P207" s="15"/>
      <c r="Q207" s="24"/>
      <c r="R207" s="211"/>
      <c r="S207" s="15"/>
      <c r="T207" s="121"/>
      <c r="U207" s="121"/>
      <c r="V207" s="15"/>
      <c r="W207" s="121"/>
      <c r="X207" s="12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24"/>
      <c r="I208" s="121"/>
      <c r="J208" s="16"/>
      <c r="K208" s="121"/>
      <c r="L208" s="121"/>
      <c r="M208" s="24"/>
      <c r="N208" s="15"/>
      <c r="O208" s="24"/>
      <c r="P208" s="25"/>
      <c r="Q208" s="24"/>
      <c r="R208" s="211"/>
      <c r="S208" s="15"/>
      <c r="T208" s="121"/>
      <c r="U208" s="121"/>
      <c r="V208" s="15"/>
      <c r="W208" s="121"/>
      <c r="X208" s="12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24"/>
      <c r="I209" s="121"/>
      <c r="J209" s="16"/>
      <c r="K209" s="121"/>
      <c r="L209" s="121"/>
      <c r="M209" s="24"/>
      <c r="N209" s="15"/>
      <c r="O209" s="24"/>
      <c r="P209" s="15"/>
      <c r="Q209" s="24"/>
      <c r="R209" s="211"/>
      <c r="S209" s="15"/>
      <c r="T209" s="121"/>
      <c r="U209" s="121"/>
      <c r="V209" s="15"/>
      <c r="W209" s="121"/>
      <c r="X209" s="12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24"/>
      <c r="I210" s="121"/>
      <c r="J210" s="16"/>
      <c r="K210" s="121"/>
      <c r="L210" s="121"/>
      <c r="M210" s="24"/>
      <c r="N210" s="15"/>
      <c r="O210" s="24"/>
      <c r="P210" s="15"/>
      <c r="Q210" s="24"/>
      <c r="R210" s="211"/>
      <c r="S210" s="15"/>
      <c r="T210" s="121"/>
      <c r="U210" s="121"/>
      <c r="V210" s="15"/>
      <c r="W210" s="121"/>
      <c r="X210" s="12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24"/>
      <c r="I211" s="121"/>
      <c r="J211" s="16"/>
      <c r="K211" s="121"/>
      <c r="L211" s="121"/>
      <c r="M211" s="24"/>
      <c r="N211" s="15"/>
      <c r="O211" s="24"/>
      <c r="P211" s="15"/>
      <c r="Q211" s="24"/>
      <c r="R211" s="211"/>
      <c r="S211" s="15"/>
      <c r="T211" s="121"/>
      <c r="U211" s="121"/>
      <c r="V211" s="15"/>
      <c r="W211" s="121"/>
      <c r="X211" s="12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24"/>
      <c r="I212" s="121"/>
      <c r="J212" s="16"/>
      <c r="K212" s="121"/>
      <c r="L212" s="121"/>
      <c r="M212" s="24"/>
      <c r="N212" s="15"/>
      <c r="O212" s="24"/>
      <c r="P212" s="15"/>
      <c r="Q212" s="24"/>
      <c r="R212" s="211"/>
      <c r="S212" s="15"/>
      <c r="T212" s="121"/>
      <c r="U212" s="121"/>
      <c r="V212" s="15"/>
      <c r="W212" s="121"/>
      <c r="X212" s="12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24"/>
      <c r="I213" s="121"/>
      <c r="J213" s="16"/>
      <c r="K213" s="121"/>
      <c r="L213" s="121"/>
      <c r="M213" s="24"/>
      <c r="N213" s="15"/>
      <c r="O213" s="24"/>
      <c r="P213" s="15"/>
      <c r="Q213" s="24"/>
      <c r="R213" s="211"/>
      <c r="S213" s="15"/>
      <c r="T213" s="121"/>
      <c r="U213" s="121"/>
      <c r="V213" s="15"/>
      <c r="W213" s="121"/>
      <c r="X213" s="121"/>
      <c r="Y213" s="18"/>
    </row>
    <row r="214" spans="1:25" ht="14.25" customHeight="1">
      <c r="A214" s="15">
        <v>220</v>
      </c>
      <c r="B214" s="25"/>
      <c r="C214" s="25"/>
      <c r="D214" s="220"/>
      <c r="E214" s="22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1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22"/>
    </row>
    <row r="216" spans="1:25" ht="14.25" customHeight="1">
      <c r="R216" s="222"/>
    </row>
    <row r="217" spans="1:25" ht="14.25" customHeight="1">
      <c r="R217" s="222"/>
    </row>
    <row r="218" spans="1:25" ht="14.25" customHeight="1">
      <c r="R218" s="222"/>
    </row>
    <row r="219" spans="1:25" ht="14.25" customHeight="1">
      <c r="H219" s="399">
        <v>4</v>
      </c>
      <c r="N219" s="43"/>
      <c r="O219" s="105"/>
      <c r="R219" s="222"/>
    </row>
    <row r="220" spans="1:25" ht="14.25" customHeight="1">
      <c r="H220" s="399">
        <v>16</v>
      </c>
      <c r="L220" s="223">
        <f>I3-L3</f>
        <v>0</v>
      </c>
      <c r="R220" s="222"/>
    </row>
    <row r="221" spans="1:25" ht="14.25" customHeight="1">
      <c r="H221" s="399">
        <v>7</v>
      </c>
      <c r="R221" s="222"/>
    </row>
    <row r="222" spans="1:25" ht="14.25" customHeight="1">
      <c r="G222" s="16">
        <v>952</v>
      </c>
      <c r="H222" s="399">
        <f t="shared" ref="H222:H231" si="35">G222/1000</f>
        <v>0.95199999999999996</v>
      </c>
      <c r="R222" s="222"/>
    </row>
    <row r="223" spans="1:25" ht="14.25" customHeight="1">
      <c r="G223" s="16">
        <v>173.57</v>
      </c>
      <c r="H223" s="399">
        <f t="shared" si="35"/>
        <v>0.17357</v>
      </c>
      <c r="R223" s="222"/>
    </row>
    <row r="224" spans="1:25" ht="14.25" customHeight="1">
      <c r="G224" s="16">
        <v>336.5</v>
      </c>
      <c r="H224" s="399">
        <f t="shared" si="35"/>
        <v>0.33650000000000002</v>
      </c>
      <c r="R224" s="222"/>
    </row>
    <row r="225" spans="7:18" ht="14.25" customHeight="1">
      <c r="G225" s="16">
        <v>900.14</v>
      </c>
      <c r="H225" s="399">
        <f t="shared" si="35"/>
        <v>0.90013999999999994</v>
      </c>
      <c r="R225" s="222"/>
    </row>
    <row r="226" spans="7:18" ht="14.25" customHeight="1">
      <c r="G226" s="16">
        <v>1697.24</v>
      </c>
      <c r="H226" s="399">
        <f t="shared" si="35"/>
        <v>1.6972400000000001</v>
      </c>
    </row>
    <row r="227" spans="7:18" ht="14.25" customHeight="1">
      <c r="G227" s="16">
        <v>1600.078</v>
      </c>
      <c r="H227" s="399">
        <f t="shared" si="35"/>
        <v>1.6000779999999999</v>
      </c>
    </row>
    <row r="228" spans="7:18" ht="14.25" customHeight="1">
      <c r="G228" s="16">
        <v>525.89</v>
      </c>
      <c r="H228" s="399">
        <f t="shared" si="35"/>
        <v>0.52588999999999997</v>
      </c>
    </row>
    <row r="229" spans="7:18" ht="14.25" customHeight="1">
      <c r="G229" s="16">
        <v>356.279</v>
      </c>
      <c r="H229" s="399">
        <f t="shared" si="35"/>
        <v>0.35627900000000001</v>
      </c>
    </row>
    <row r="230" spans="7:18" ht="14.25" customHeight="1">
      <c r="G230" s="16">
        <v>190.524</v>
      </c>
      <c r="H230" s="399">
        <f t="shared" si="35"/>
        <v>0.190524</v>
      </c>
    </row>
    <row r="231" spans="7:18" ht="14.25" customHeight="1">
      <c r="G231" s="16">
        <v>142.38399999999999</v>
      </c>
      <c r="H231" s="399">
        <f t="shared" si="35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35:N38 M47:N50 M52:N60 M65:N76 M18:M29">
    <cfRule type="containsText" dxfId="1537" priority="104" operator="containsText" text="WIP">
      <formula>NOT(ISERROR(SEARCH(("WIP"),(E18))))</formula>
    </cfRule>
  </conditionalFormatting>
  <conditionalFormatting sqref="F13:F19">
    <cfRule type="containsText" dxfId="1536" priority="105" operator="containsText" text="WIP">
      <formula>NOT(ISERROR(SEARCH(("WIP"),(F13))))</formula>
    </cfRule>
  </conditionalFormatting>
  <conditionalFormatting sqref="F20:F21">
    <cfRule type="containsText" dxfId="1535" priority="3" operator="containsText" text="WIP">
      <formula>NOT(ISERROR(SEARCH(("WIP"),(F20))))</formula>
    </cfRule>
  </conditionalFormatting>
  <conditionalFormatting sqref="F50 E88:E101">
    <cfRule type="containsText" dxfId="1534" priority="95" operator="containsText" text="C">
      <formula>NOT(ISERROR(SEARCH(("C"),(E95))))</formula>
    </cfRule>
  </conditionalFormatting>
  <conditionalFormatting sqref="F51">
    <cfRule type="containsText" dxfId="1533" priority="71" operator="containsText" text="C">
      <formula>NOT(ISERROR(SEARCH(("C"),(F51))))</formula>
    </cfRule>
  </conditionalFormatting>
  <conditionalFormatting sqref="F131">
    <cfRule type="containsText" dxfId="1532" priority="107" operator="containsText" text="WIP">
      <formula>NOT(ISERROR(SEARCH(("WIP"),(F131))))</formula>
    </cfRule>
  </conditionalFormatting>
  <conditionalFormatting sqref="F132:F161">
    <cfRule type="containsText" dxfId="1531" priority="108" operator="containsText" text="C">
      <formula>NOT(ISERROR(SEARCH(("C"),(F132))))</formula>
    </cfRule>
  </conditionalFormatting>
  <conditionalFormatting sqref="F176:F187">
    <cfRule type="containsText" dxfId="1530" priority="109" operator="containsText" text="C">
      <formula>NOT(ISERROR(SEARCH(("C"),(F176))))</formula>
    </cfRule>
  </conditionalFormatting>
  <conditionalFormatting sqref="F30:G32">
    <cfRule type="containsText" dxfId="1529" priority="110" operator="containsText" text="WIP">
      <formula>NOT(ISERROR(SEARCH(("WIP"),(F30))))</formula>
    </cfRule>
  </conditionalFormatting>
  <conditionalFormatting sqref="F42:G50 E42:E60 E64:E87">
    <cfRule type="containsText" dxfId="1528" priority="94" operator="containsText" text="C">
      <formula>NOT(ISERROR(SEARCH(("C"),(E42))))</formula>
    </cfRule>
  </conditionalFormatting>
  <conditionalFormatting sqref="F64:G101 F52:G60 E61:G63">
    <cfRule type="containsText" dxfId="1527" priority="112" operator="containsText" text="C">
      <formula>NOT(ISERROR(SEARCH(("C"),(E52))))</formula>
    </cfRule>
  </conditionalFormatting>
  <conditionalFormatting sqref="F102:G114 E102:E214 F193:F194">
    <cfRule type="containsText" dxfId="1526" priority="96" operator="containsText" text="C">
      <formula>NOT(ISERROR(SEARCH(("C"),(E102))))</formula>
    </cfRule>
  </conditionalFormatting>
  <conditionalFormatting sqref="F115:G131">
    <cfRule type="containsText" dxfId="1525" priority="115" operator="containsText" text="C">
      <formula>NOT(ISERROR(SEARCH(("C"),(F115))))</formula>
    </cfRule>
  </conditionalFormatting>
  <conditionalFormatting sqref="F162:G175">
    <cfRule type="containsText" dxfId="1524" priority="116" operator="containsText" text="C">
      <formula>NOT(ISERROR(SEARCH(("C"),(F162))))</formula>
    </cfRule>
  </conditionalFormatting>
  <conditionalFormatting sqref="F188:G192 G193:G194">
    <cfRule type="containsText" dxfId="1523" priority="126" operator="containsText" text="C">
      <formula>NOT(ISERROR(SEARCH(("C"),(F336))))</formula>
    </cfRule>
  </conditionalFormatting>
  <conditionalFormatting sqref="F195:G213">
    <cfRule type="containsText" dxfId="1522" priority="118" operator="containsText" text="C">
      <formula>NOT(ISERROR(SEARCH(("C"),(F195))))</formula>
    </cfRule>
  </conditionalFormatting>
  <conditionalFormatting sqref="G7:G22">
    <cfRule type="containsText" dxfId="1521" priority="121" operator="containsText" text="WIP">
      <formula>NOT(ISERROR(SEARCH(("WIP"),(G7))))</formula>
    </cfRule>
  </conditionalFormatting>
  <conditionalFormatting sqref="G50:G51">
    <cfRule type="containsText" dxfId="1520" priority="70" operator="containsText" text="C">
      <formula>NOT(ISERROR(SEARCH(("C"),(G50))))</formula>
    </cfRule>
  </conditionalFormatting>
  <conditionalFormatting sqref="G69:G70 E132:E133 H70">
    <cfRule type="containsText" dxfId="1519" priority="149" operator="containsText" text="WIP">
      <formula>NOT(ISERROR(SEARCH(("WIP"),(E132))))</formula>
    </cfRule>
  </conditionalFormatting>
  <conditionalFormatting sqref="G88">
    <cfRule type="containsText" dxfId="1518" priority="129" operator="containsText" text="WIP">
      <formula>NOT(ISERROR(SEARCH(("WIP"),(G88))))</formula>
    </cfRule>
  </conditionalFormatting>
  <conditionalFormatting sqref="G93:G98">
    <cfRule type="containsText" dxfId="1517" priority="130" operator="containsText" text="WIP">
      <formula>NOT(ISERROR(SEARCH(("WIP"),(G93))))</formula>
    </cfRule>
  </conditionalFormatting>
  <conditionalFormatting sqref="G100 G102:G110">
    <cfRule type="containsText" dxfId="1516" priority="131" operator="containsText" text="WIP">
      <formula>NOT(ISERROR(SEARCH(("WIP"),(G100))))</formula>
    </cfRule>
  </conditionalFormatting>
  <conditionalFormatting sqref="G115 G112">
    <cfRule type="containsText" dxfId="1515" priority="132" operator="containsText" text="WIP">
      <formula>NOT(ISERROR(SEARCH(("WIP"),(G112))))</formula>
    </cfRule>
  </conditionalFormatting>
  <conditionalFormatting sqref="G119:G121">
    <cfRule type="containsText" dxfId="1514" priority="133" operator="containsText" text="WIP">
      <formula>NOT(ISERROR(SEARCH(("WIP"),(G119))))</formula>
    </cfRule>
  </conditionalFormatting>
  <conditionalFormatting sqref="G132:G134">
    <cfRule type="containsText" dxfId="1513" priority="134" operator="containsText" text="C">
      <formula>NOT(ISERROR(SEARCH(("C"),(G132))))</formula>
    </cfRule>
  </conditionalFormatting>
  <conditionalFormatting sqref="G135:G146">
    <cfRule type="containsText" dxfId="1512" priority="135" operator="containsText" text="WIP">
      <formula>NOT(ISERROR(SEARCH(("WIP"),(G135))))</formula>
    </cfRule>
  </conditionalFormatting>
  <conditionalFormatting sqref="G135:G161">
    <cfRule type="containsText" dxfId="1511" priority="136" operator="containsText" text="C">
      <formula>NOT(ISERROR(SEARCH(("C"),(G135))))</formula>
    </cfRule>
  </conditionalFormatting>
  <conditionalFormatting sqref="G151 G153">
    <cfRule type="containsText" dxfId="1510" priority="137" operator="containsText" text="WIP">
      <formula>NOT(ISERROR(SEARCH(("WIP"),(G151))))</formula>
    </cfRule>
  </conditionalFormatting>
  <conditionalFormatting sqref="G155:G160">
    <cfRule type="containsText" dxfId="1509" priority="138" operator="containsText" text="WIP">
      <formula>NOT(ISERROR(SEARCH(("WIP"),(G155))))</formula>
    </cfRule>
  </conditionalFormatting>
  <conditionalFormatting sqref="G164:G171">
    <cfRule type="containsText" dxfId="1508" priority="139" operator="containsText" text="WIP">
      <formula>NOT(ISERROR(SEARCH(("WIP"),(G164))))</formula>
    </cfRule>
  </conditionalFormatting>
  <conditionalFormatting sqref="G171">
    <cfRule type="containsText" dxfId="1507" priority="140" operator="containsText" text="C">
      <formula>NOT(ISERROR(SEARCH(("C"),(G171))))</formula>
    </cfRule>
  </conditionalFormatting>
  <conditionalFormatting sqref="G173:G180">
    <cfRule type="containsText" dxfId="1506" priority="141" operator="containsText" text="WIP">
      <formula>NOT(ISERROR(SEARCH(("WIP"),(G173))))</formula>
    </cfRule>
  </conditionalFormatting>
  <conditionalFormatting sqref="G174:G187">
    <cfRule type="containsText" dxfId="1505" priority="142" operator="containsText" text="C">
      <formula>NOT(ISERROR(SEARCH(("C"),(G174))))</formula>
    </cfRule>
  </conditionalFormatting>
  <conditionalFormatting sqref="G176:G180">
    <cfRule type="containsText" dxfId="1504" priority="117" operator="containsText" text="C">
      <formula>NOT(ISERROR(SEARCH(("C"),(G176))))</formula>
    </cfRule>
  </conditionalFormatting>
  <conditionalFormatting sqref="G183:G186">
    <cfRule type="containsText" dxfId="1503" priority="143" operator="containsText" text="WIP">
      <formula>NOT(ISERROR(SEARCH(("WIP"),(G183))))</formula>
    </cfRule>
  </conditionalFormatting>
  <conditionalFormatting sqref="G188:G194">
    <cfRule type="containsText" dxfId="1502" priority="144" operator="containsText" text="WIP">
      <formula>NOT(ISERROR(SEARCH(("WIP"),(G188))))</formula>
    </cfRule>
  </conditionalFormatting>
  <conditionalFormatting sqref="G192:G194">
    <cfRule type="containsText" dxfId="1501" priority="146" operator="containsText" text="C">
      <formula>NOT(ISERROR(SEARCH(("C"),(G192))))</formula>
    </cfRule>
  </conditionalFormatting>
  <conditionalFormatting sqref="G196:G202">
    <cfRule type="containsText" dxfId="1500" priority="147" operator="containsText" text="WIP">
      <formula>NOT(ISERROR(SEARCH(("WIP"),(G196))))</formula>
    </cfRule>
  </conditionalFormatting>
  <conditionalFormatting sqref="G206:G207">
    <cfRule type="containsText" dxfId="1499" priority="148" operator="containsText" text="WIP">
      <formula>NOT(ISERROR(SEARCH(("WIP"),(G206))))</formula>
    </cfRule>
  </conditionalFormatting>
  <conditionalFormatting sqref="H70">
    <cfRule type="containsText" dxfId="1498" priority="150" operator="containsText" text="C">
      <formula>NOT(ISERROR(SEARCH(("C"),(H70))))</formula>
    </cfRule>
  </conditionalFormatting>
  <conditionalFormatting sqref="J6:J12">
    <cfRule type="containsText" dxfId="1497" priority="74" operator="containsText" text="C">
      <formula>NOT(ISERROR(SEARCH(("C"),(J6))))</formula>
    </cfRule>
  </conditionalFormatting>
  <conditionalFormatting sqref="J7:J21">
    <cfRule type="containsText" dxfId="1496" priority="152" operator="containsText" text="WIP">
      <formula>NOT(ISERROR(SEARCH(("WIP"),(J7))))</formula>
    </cfRule>
  </conditionalFormatting>
  <conditionalFormatting sqref="J7:J33">
    <cfRule type="containsText" dxfId="1495" priority="153" operator="containsText" text="C">
      <formula>NOT(ISERROR(SEARCH(("C"),(J7))))</formula>
    </cfRule>
  </conditionalFormatting>
  <conditionalFormatting sqref="J30:J33">
    <cfRule type="containsText" dxfId="1494" priority="157" operator="containsText" text="WIP">
      <formula>NOT(ISERROR(SEARCH(("WIP"),(J30))))</formula>
    </cfRule>
  </conditionalFormatting>
  <conditionalFormatting sqref="J34:J46">
    <cfRule type="containsText" dxfId="1493" priority="32" operator="containsText" text="C">
      <formula>NOT(ISERROR(SEARCH(("C"),(J34))))</formula>
    </cfRule>
  </conditionalFormatting>
  <conditionalFormatting sqref="J39">
    <cfRule type="containsText" dxfId="1492" priority="159" operator="containsText" text="WIP">
      <formula>NOT(ISERROR(SEARCH(("WIP"),(J39))))</formula>
    </cfRule>
  </conditionalFormatting>
  <conditionalFormatting sqref="J47:J85 J39">
    <cfRule type="containsText" dxfId="1491" priority="161" operator="containsText" text="C">
      <formula>NOT(ISERROR(SEARCH(("C"),(J39))))</formula>
    </cfRule>
  </conditionalFormatting>
  <conditionalFormatting sqref="J50:J51">
    <cfRule type="containsText" dxfId="1490" priority="160" operator="containsText" text="WIP">
      <formula>NOT(ISERROR(SEARCH(("WIP"),(J50))))</formula>
    </cfRule>
  </conditionalFormatting>
  <conditionalFormatting sqref="J61:J64 J69:J71 J74:J79 J82 G58:G59 G62:G64 E204">
    <cfRule type="containsText" dxfId="1489" priority="162" operator="containsText" text="WIP">
      <formula>NOT(ISERROR(SEARCH(("WIP"),(G58))))</formula>
    </cfRule>
  </conditionalFormatting>
  <conditionalFormatting sqref="J86:J101">
    <cfRule type="containsText" dxfId="1488" priority="4" operator="containsText" text="C">
      <formula>NOT(ISERROR(SEARCH(("C"),(J86))))</formula>
    </cfRule>
  </conditionalFormatting>
  <conditionalFormatting sqref="J88:J98">
    <cfRule type="containsText" dxfId="1487" priority="165" operator="containsText" text="WIP">
      <formula>NOT(ISERROR(SEARCH(("WIP"),(J88))))</formula>
    </cfRule>
  </conditionalFormatting>
  <conditionalFormatting sqref="J100:J122">
    <cfRule type="containsText" dxfId="1486" priority="164" operator="containsText" text="WIP">
      <formula>NOT(ISERROR(SEARCH(("WIP"),(J100))))</formula>
    </cfRule>
  </conditionalFormatting>
  <conditionalFormatting sqref="J102:J133">
    <cfRule type="containsText" dxfId="1485" priority="166" operator="containsText" text="C">
      <formula>NOT(ISERROR(SEARCH(("C"),(J102))))</formula>
    </cfRule>
  </conditionalFormatting>
  <conditionalFormatting sqref="J113:J117">
    <cfRule type="containsText" dxfId="1484" priority="168" operator="containsText" text="WIP">
      <formula>NOT(ISERROR(SEARCH(("WIP"),(J113))))</formula>
    </cfRule>
  </conditionalFormatting>
  <conditionalFormatting sqref="J132:J151">
    <cfRule type="containsText" dxfId="1483" priority="169" operator="containsText" text="WIP">
      <formula>NOT(ISERROR(SEARCH(("WIP"),(J132))))</formula>
    </cfRule>
  </conditionalFormatting>
  <conditionalFormatting sqref="J133:J154">
    <cfRule type="containsText" dxfId="1482" priority="170" operator="containsText" text="C">
      <formula>NOT(ISERROR(SEARCH(("C"),(J133))))</formula>
    </cfRule>
  </conditionalFormatting>
  <conditionalFormatting sqref="J154:J171">
    <cfRule type="containsText" dxfId="1481" priority="171" operator="containsText" text="WIP">
      <formula>NOT(ISERROR(SEARCH(("WIP"),(J154))))</formula>
    </cfRule>
  </conditionalFormatting>
  <conditionalFormatting sqref="J155:J213">
    <cfRule type="containsText" dxfId="1480" priority="172" operator="containsText" text="C">
      <formula>NOT(ISERROR(SEARCH(("C"),(J155))))</formula>
    </cfRule>
  </conditionalFormatting>
  <conditionalFormatting sqref="J173:J180">
    <cfRule type="containsText" dxfId="1479" priority="174" operator="containsText" text="WIP">
      <formula>NOT(ISERROR(SEARCH(("WIP"),(J173))))</formula>
    </cfRule>
  </conditionalFormatting>
  <conditionalFormatting sqref="J186:J209">
    <cfRule type="containsText" dxfId="1478" priority="176" operator="containsText" text="WIP">
      <formula>NOT(ISERROR(SEARCH(("WIP"),(J186))))</formula>
    </cfRule>
  </conditionalFormatting>
  <conditionalFormatting sqref="J7:K8">
    <cfRule type="containsText" dxfId="1477" priority="177" operator="containsText" text="C">
      <formula>NOT(ISERROR(SEARCH(("C"),(J7))))</formula>
    </cfRule>
  </conditionalFormatting>
  <conditionalFormatting sqref="K7:K8">
    <cfRule type="containsText" dxfId="1476" priority="178" operator="containsText" text="WIP">
      <formula>NOT(ISERROR(SEARCH(("WIP"),(K7))))</formula>
    </cfRule>
  </conditionalFormatting>
  <conditionalFormatting sqref="M22:M32">
    <cfRule type="containsText" dxfId="1475" priority="59" operator="containsText" text="C">
      <formula>NOT(ISERROR(SEARCH(("C"),(M22))))</formula>
    </cfRule>
  </conditionalFormatting>
  <conditionalFormatting sqref="M30 M51:N51 M61:N64 M6:N6">
    <cfRule type="containsText" dxfId="1474" priority="58" operator="containsText" text="WIP">
      <formula>NOT(ISERROR(SEARCH(("WIP"),(M6))))</formula>
    </cfRule>
  </conditionalFormatting>
  <conditionalFormatting sqref="M30 M51:N51 M61:N64">
    <cfRule type="containsText" dxfId="1473" priority="57" operator="containsText" text="C">
      <formula>NOT(ISERROR(SEARCH(("C"),(M30))))</formula>
    </cfRule>
  </conditionalFormatting>
  <conditionalFormatting sqref="M33:M34">
    <cfRule type="containsText" dxfId="1472" priority="56" operator="containsText" text="C">
      <formula>NOT(ISERROR(SEARCH(("C"),(M33))))</formula>
    </cfRule>
  </conditionalFormatting>
  <conditionalFormatting sqref="M40:M41">
    <cfRule type="containsText" dxfId="1471" priority="48" operator="containsText" text="WIP">
      <formula>NOT(ISERROR(SEARCH(("WIP"),(M40))))</formula>
    </cfRule>
  </conditionalFormatting>
  <conditionalFormatting sqref="M40:M43">
    <cfRule type="containsText" dxfId="1470" priority="49" operator="containsText" text="C">
      <formula>NOT(ISERROR(SEARCH(("C"),(M40))))</formula>
    </cfRule>
  </conditionalFormatting>
  <conditionalFormatting sqref="M42:M43">
    <cfRule type="containsText" dxfId="1469" priority="52" operator="containsText" text="WIP">
      <formula>NOT(ISERROR(SEARCH(("WIP"),(M42))))</formula>
    </cfRule>
    <cfRule type="containsText" dxfId="1468" priority="53" operator="containsText" text="C">
      <formula>NOT(ISERROR(SEARCH(("C"),(M42))))</formula>
    </cfRule>
  </conditionalFormatting>
  <conditionalFormatting sqref="M44:M46 M77:N79">
    <cfRule type="containsText" dxfId="1467" priority="29" operator="containsText" text="WIP">
      <formula>NOT(ISERROR(SEARCH(("WIP"),(M44))))</formula>
    </cfRule>
    <cfRule type="containsText" dxfId="1466" priority="28" operator="containsText" text="C">
      <formula>NOT(ISERROR(SEARCH(("C"),(M44))))</formula>
    </cfRule>
  </conditionalFormatting>
  <conditionalFormatting sqref="M44:M46 M77:N86">
    <cfRule type="containsText" dxfId="1465" priority="30" operator="containsText" text="C">
      <formula>NOT(ISERROR(SEARCH(("C"),(M44))))</formula>
    </cfRule>
  </conditionalFormatting>
  <conditionalFormatting sqref="M88">
    <cfRule type="containsText" dxfId="1464" priority="182" operator="containsText" text="WIP">
      <formula>NOT(ISERROR(SEARCH(("WIP"),(M88))))</formula>
    </cfRule>
    <cfRule type="containsText" dxfId="1463" priority="183" operator="containsText" text="C">
      <formula>NOT(ISERROR(SEARCH(("C"),(M88))))</formula>
    </cfRule>
  </conditionalFormatting>
  <conditionalFormatting sqref="M6:N12">
    <cfRule type="containsText" dxfId="1462" priority="15" operator="containsText" text="C">
      <formula>NOT(ISERROR(SEARCH(("C"),(M6))))</formula>
    </cfRule>
  </conditionalFormatting>
  <conditionalFormatting sqref="M7:N12">
    <cfRule type="containsText" dxfId="1461" priority="14" operator="containsText" text="WIP">
      <formula>NOT(ISERROR(SEARCH(("WIP"),(M7))))</formula>
    </cfRule>
  </conditionalFormatting>
  <conditionalFormatting sqref="M13:N16">
    <cfRule type="containsText" dxfId="1460" priority="20" operator="containsText" text="C">
      <formula>NOT(ISERROR(SEARCH(("C"),(M13))))</formula>
    </cfRule>
  </conditionalFormatting>
  <conditionalFormatting sqref="M15:N17 N18:N21">
    <cfRule type="containsText" dxfId="1459" priority="1" operator="containsText" text="WIP">
      <formula>NOT(ISERROR(SEARCH(("WIP"),(M15))))</formula>
    </cfRule>
  </conditionalFormatting>
  <conditionalFormatting sqref="M17:N21">
    <cfRule type="containsText" dxfId="1458" priority="2" operator="containsText" text="C">
      <formula>NOT(ISERROR(SEARCH(("C"),(M17))))</formula>
    </cfRule>
  </conditionalFormatting>
  <conditionalFormatting sqref="M31:N32">
    <cfRule type="containsText" dxfId="1457" priority="61" operator="containsText" text="WIP">
      <formula>NOT(ISERROR(SEARCH(("WIP"),(M31))))</formula>
    </cfRule>
  </conditionalFormatting>
  <conditionalFormatting sqref="M31:N41 M6:N10 M47:N76 E6:G41">
    <cfRule type="containsText" dxfId="1456" priority="73" operator="containsText" text="C">
      <formula>NOT(ISERROR(SEARCH(("C"),(E6))))</formula>
    </cfRule>
  </conditionalFormatting>
  <conditionalFormatting sqref="M33:N34">
    <cfRule type="containsText" dxfId="1455" priority="35" operator="containsText" text="WIP">
      <formula>NOT(ISERROR(SEARCH(("WIP"),(M33))))</formula>
    </cfRule>
  </conditionalFormatting>
  <conditionalFormatting sqref="N11:N13 M13:M14 N22:N30 M80:N86">
    <cfRule type="containsText" dxfId="1454" priority="181" operator="containsText" text="C">
      <formula>NOT(ISERROR(SEARCH(("C"),(M11))))</formula>
    </cfRule>
  </conditionalFormatting>
  <conditionalFormatting sqref="N14">
    <cfRule type="containsText" dxfId="1453" priority="19" operator="containsText" text="WIP">
      <formula>NOT(ISERROR(SEARCH(("WIP"),(N14))))</formula>
    </cfRule>
  </conditionalFormatting>
  <conditionalFormatting sqref="N22:N30 M80:N86 N13 M13:M14">
    <cfRule type="containsText" dxfId="1452" priority="180" operator="containsText" text="WIP">
      <formula>NOT(ISERROR(SEARCH(("WIP"),(M13))))</formula>
    </cfRule>
  </conditionalFormatting>
  <conditionalFormatting sqref="N22:N32">
    <cfRule type="containsText" dxfId="1451" priority="65" operator="containsText" text="C">
      <formula>NOT(ISERROR(SEARCH(("C"),(N22))))</formula>
    </cfRule>
  </conditionalFormatting>
  <conditionalFormatting sqref="N33:N34">
    <cfRule type="containsText" dxfId="1450" priority="34" operator="containsText" text="C">
      <formula>NOT(ISERROR(SEARCH(("C"),(N33))))</formula>
    </cfRule>
  </conditionalFormatting>
  <conditionalFormatting sqref="N39">
    <cfRule type="containsText" dxfId="1449" priority="26" operator="containsText" text="WIP">
      <formula>NOT(ISERROR(SEARCH(("WIP"),(N39))))</formula>
    </cfRule>
  </conditionalFormatting>
  <conditionalFormatting sqref="N39:N40">
    <cfRule type="containsText" dxfId="1448" priority="27" operator="containsText" text="C">
      <formula>NOT(ISERROR(SEARCH(("C"),(N39))))</formula>
    </cfRule>
  </conditionalFormatting>
  <conditionalFormatting sqref="N40:N46">
    <cfRule type="containsText" dxfId="1447" priority="38" operator="containsText" text="WIP">
      <formula>NOT(ISERROR(SEARCH(("WIP"),(N40))))</formula>
    </cfRule>
  </conditionalFormatting>
  <conditionalFormatting sqref="N41:N46">
    <cfRule type="containsText" dxfId="1446" priority="42" operator="containsText" text="C">
      <formula>NOT(ISERROR(SEARCH(("C"),(N41))))</formula>
    </cfRule>
  </conditionalFormatting>
  <conditionalFormatting sqref="N42:N46">
    <cfRule type="containsText" dxfId="1445" priority="31" operator="containsText" text="C">
      <formula>NOT(ISERROR(SEARCH(("C"),(N42))))</formula>
    </cfRule>
  </conditionalFormatting>
  <conditionalFormatting sqref="S6:S64">
    <cfRule type="containsText" dxfId="1444" priority="11" operator="containsText" text="WIP">
      <formula>NOT(ISERROR(SEARCH(("WIP"),(S6))))</formula>
    </cfRule>
  </conditionalFormatting>
  <conditionalFormatting sqref="S6:S70">
    <cfRule type="containsText" dxfId="1443" priority="12" operator="containsText" text="C">
      <formula>NOT(ISERROR(SEARCH(("C"),(S6))))</formula>
    </cfRule>
  </conditionalFormatting>
  <conditionalFormatting sqref="S89:S93 V89:V93">
    <cfRule type="containsText" dxfId="1442" priority="195" operator="containsText" text="WIP">
      <formula>NOT(ISERROR(SEARCH(("WIP"),(S89))))</formula>
    </cfRule>
    <cfRule type="containsText" dxfId="1441" priority="196" operator="containsText" text="C">
      <formula>NOT(ISERROR(SEARCH(("C"),(S89))))</formula>
    </cfRule>
  </conditionalFormatting>
  <conditionalFormatting sqref="S103:S213">
    <cfRule type="containsText" dxfId="1440" priority="197" operator="containsText" text="WIP">
      <formula>NOT(ISERROR(SEARCH(("WIP"),(S103))))</formula>
    </cfRule>
    <cfRule type="containsText" dxfId="1439" priority="198" operator="containsText" text="C">
      <formula>NOT(ISERROR(SEARCH(("C"),(S103))))</formula>
    </cfRule>
  </conditionalFormatting>
  <conditionalFormatting sqref="V6:V64">
    <cfRule type="containsText" dxfId="1438" priority="7" operator="containsText" text="WIP">
      <formula>NOT(ISERROR(SEARCH(("WIP"),(V6))))</formula>
    </cfRule>
  </conditionalFormatting>
  <conditionalFormatting sqref="V6:V70">
    <cfRule type="containsText" dxfId="1437" priority="8" operator="containsText" text="C">
      <formula>NOT(ISERROR(SEARCH(("C"),(V6))))</formula>
    </cfRule>
  </conditionalFormatting>
  <conditionalFormatting sqref="V103:V213">
    <cfRule type="containsText" dxfId="1436" priority="202" operator="containsText" text="WIP">
      <formula>NOT(ISERROR(SEARCH(("WIP"),(V103))))</formula>
    </cfRule>
    <cfRule type="containsText" dxfId="1435" priority="203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3"/>
  <sheetViews>
    <sheetView workbookViewId="0">
      <pane xSplit="4" ySplit="5" topLeftCell="P39" activePane="bottomRight" state="frozen"/>
      <selection pane="topRight" activeCell="E1" sqref="E1"/>
      <selection pane="bottomLeft" activeCell="A6" sqref="A6"/>
      <selection pane="bottomRight" activeCell="D6" sqref="D6:D52"/>
    </sheetView>
  </sheetViews>
  <sheetFormatPr defaultColWidth="14.42578125" defaultRowHeight="15" customHeight="1"/>
  <cols>
    <col min="1" max="1" width="8.7109375" style="346" customWidth="1"/>
    <col min="2" max="2" width="22.140625" style="346" customWidth="1"/>
    <col min="3" max="3" width="23" style="346" customWidth="1"/>
    <col min="4" max="4" width="12.42578125" style="346" customWidth="1"/>
    <col min="5" max="5" width="11.140625" style="346" customWidth="1"/>
    <col min="6" max="6" width="9.42578125" style="369" customWidth="1"/>
    <col min="7" max="7" width="8.7109375" style="369" customWidth="1"/>
    <col min="8" max="8" width="11.28515625" style="369" customWidth="1"/>
    <col min="9" max="9" width="11.28515625" style="346" customWidth="1"/>
    <col min="10" max="10" width="12.140625" style="346" customWidth="1"/>
    <col min="11" max="12" width="11.28515625" style="346" customWidth="1"/>
    <col min="13" max="13" width="12.140625" style="346" customWidth="1"/>
    <col min="14" max="15" width="11.28515625" style="346" customWidth="1"/>
    <col min="16" max="16" width="21.42578125" style="346" customWidth="1"/>
    <col min="17" max="17" width="5.140625" style="346" customWidth="1"/>
    <col min="18" max="18" width="19.28515625" style="346" customWidth="1"/>
    <col min="19" max="19" width="3" style="346" customWidth="1"/>
    <col min="20" max="20" width="8.7109375" style="346" customWidth="1"/>
    <col min="21" max="22" width="11.28515625" style="346" customWidth="1"/>
    <col min="23" max="23" width="8.7109375" style="346" customWidth="1"/>
    <col min="24" max="25" width="11.28515625" style="346" customWidth="1"/>
    <col min="26" max="26" width="22" style="346" customWidth="1"/>
    <col min="27" max="16384" width="14.42578125" style="346"/>
  </cols>
  <sheetData>
    <row r="1" spans="1:26" ht="14.25" customHeight="1">
      <c r="A1" s="671" t="str">
        <f>+Summary!A2</f>
        <v>Name of the Line: 220KV DC AL59 line from Neemuch - Chanderiya + 132KV DC ACSS Line from Chanderiya to Hindustan Zinc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2"/>
      <c r="P1" s="672"/>
      <c r="Q1" s="672"/>
      <c r="R1" s="672"/>
      <c r="S1" s="672"/>
      <c r="T1" s="672"/>
      <c r="U1" s="672"/>
      <c r="V1" s="672"/>
      <c r="W1" s="672"/>
      <c r="X1" s="672"/>
      <c r="Y1" s="672"/>
      <c r="Z1" s="673"/>
    </row>
    <row r="2" spans="1:26" ht="14.25" customHeight="1">
      <c r="A2" s="674" t="str">
        <f>+Summary!A5</f>
        <v>Progress of 220kV Line</v>
      </c>
      <c r="B2" s="675"/>
      <c r="C2" s="675"/>
      <c r="D2" s="675"/>
      <c r="E2" s="438"/>
      <c r="F2" s="674" t="s">
        <v>601</v>
      </c>
      <c r="G2" s="675"/>
      <c r="H2" s="675"/>
      <c r="I2" s="675"/>
      <c r="J2" s="675"/>
      <c r="K2" s="675"/>
      <c r="L2" s="675"/>
      <c r="M2" s="675"/>
      <c r="N2" s="675"/>
      <c r="O2" s="675"/>
      <c r="P2" s="675"/>
      <c r="Q2" s="675"/>
      <c r="R2" s="675"/>
      <c r="S2" s="446"/>
      <c r="T2" s="674" t="s">
        <v>602</v>
      </c>
      <c r="U2" s="675"/>
      <c r="V2" s="675"/>
      <c r="W2" s="675"/>
      <c r="X2" s="675"/>
      <c r="Y2" s="675"/>
      <c r="Z2" s="675"/>
    </row>
    <row r="3" spans="1:26" ht="14.25" customHeight="1">
      <c r="A3" s="674" t="s">
        <v>603</v>
      </c>
      <c r="B3" s="675"/>
      <c r="C3" s="675"/>
      <c r="D3" s="445">
        <f>Summary!R5</f>
        <v>46230</v>
      </c>
      <c r="E3" s="432">
        <f>SUMIF(E6:E53,"C",$D$6:$D$53)/1000</f>
        <v>6.9766000000000004</v>
      </c>
      <c r="F3" s="438"/>
      <c r="G3" s="438"/>
      <c r="H3" s="433">
        <f>SUMIF(G7:G46,"WIP",$D$7:$D$46)/1000</f>
        <v>0</v>
      </c>
      <c r="I3" s="432">
        <f>SUMIF(G6:G53,"C",$D$6:$D$53)/1000</f>
        <v>6.9766000000000004</v>
      </c>
      <c r="J3" s="438"/>
      <c r="K3" s="433">
        <f>SUMIF(J7:J46,"WIP",$D$7:$D$46)/1000</f>
        <v>0</v>
      </c>
      <c r="L3" s="432">
        <f>SUMIF(J6:J53,"C",$D$6:$D$53)/1000</f>
        <v>6.9766000000000004</v>
      </c>
      <c r="M3" s="438"/>
      <c r="N3" s="438"/>
      <c r="O3" s="438"/>
      <c r="P3" s="438"/>
      <c r="Q3" s="438"/>
      <c r="R3" s="438"/>
      <c r="S3" s="446"/>
      <c r="T3" s="438"/>
      <c r="U3" s="433">
        <f>SUMIF(T7:T46,"WIP",$D$7:$D$46)/1000</f>
        <v>0</v>
      </c>
      <c r="V3" s="433">
        <f>SUMIF(T6:T53,"C",$D$6:$D$53)/1000</f>
        <v>6.9766000000000004</v>
      </c>
      <c r="W3" s="433"/>
      <c r="X3" s="433">
        <f>SUMIF(W7:W46,"WIP",$D$7:$D$46)/1000</f>
        <v>0</v>
      </c>
      <c r="Y3" s="433">
        <f>SUMIF(W7:W53,"C",$D$7:$D$53)/1000</f>
        <v>6.9766000000000004</v>
      </c>
      <c r="Z3" s="438"/>
    </row>
    <row r="4" spans="1:26" ht="14.25" customHeight="1">
      <c r="A4" s="434" t="s">
        <v>2</v>
      </c>
      <c r="B4" s="676" t="s">
        <v>459</v>
      </c>
      <c r="C4" s="675"/>
      <c r="D4" s="434" t="s">
        <v>604</v>
      </c>
      <c r="E4" s="434" t="s">
        <v>605</v>
      </c>
      <c r="F4" s="436" t="s">
        <v>606</v>
      </c>
      <c r="G4" s="677" t="s">
        <v>607</v>
      </c>
      <c r="H4" s="675"/>
      <c r="I4" s="675"/>
      <c r="J4" s="677" t="s">
        <v>388</v>
      </c>
      <c r="K4" s="675"/>
      <c r="L4" s="675"/>
      <c r="M4" s="436" t="s">
        <v>608</v>
      </c>
      <c r="N4" s="436" t="s">
        <v>609</v>
      </c>
      <c r="O4" s="438" t="s">
        <v>610</v>
      </c>
      <c r="P4" s="436" t="s">
        <v>488</v>
      </c>
      <c r="Q4" s="436" t="s">
        <v>568</v>
      </c>
      <c r="R4" s="436" t="s">
        <v>15</v>
      </c>
      <c r="S4" s="437"/>
      <c r="T4" s="674" t="s">
        <v>611</v>
      </c>
      <c r="U4" s="675"/>
      <c r="V4" s="675"/>
      <c r="W4" s="674" t="s">
        <v>612</v>
      </c>
      <c r="X4" s="675"/>
      <c r="Y4" s="675"/>
      <c r="Z4" s="436" t="s">
        <v>488</v>
      </c>
    </row>
    <row r="5" spans="1:26" ht="14.25" customHeight="1">
      <c r="A5" s="434"/>
      <c r="B5" s="435" t="s">
        <v>613</v>
      </c>
      <c r="C5" s="435" t="s">
        <v>614</v>
      </c>
      <c r="D5" s="434"/>
      <c r="E5" s="434"/>
      <c r="F5" s="436"/>
      <c r="G5" s="438" t="s">
        <v>615</v>
      </c>
      <c r="H5" s="438" t="s">
        <v>491</v>
      </c>
      <c r="I5" s="438" t="s">
        <v>23</v>
      </c>
      <c r="J5" s="438" t="s">
        <v>615</v>
      </c>
      <c r="K5" s="438" t="s">
        <v>491</v>
      </c>
      <c r="L5" s="438" t="s">
        <v>23</v>
      </c>
      <c r="M5" s="438" t="s">
        <v>615</v>
      </c>
      <c r="N5" s="438" t="s">
        <v>615</v>
      </c>
      <c r="O5" s="438" t="s">
        <v>615</v>
      </c>
      <c r="P5" s="436"/>
      <c r="Q5" s="436"/>
      <c r="R5" s="436"/>
      <c r="S5" s="437"/>
      <c r="T5" s="438" t="s">
        <v>615</v>
      </c>
      <c r="U5" s="438" t="s">
        <v>491</v>
      </c>
      <c r="V5" s="438" t="s">
        <v>23</v>
      </c>
      <c r="W5" s="438" t="s">
        <v>615</v>
      </c>
      <c r="X5" s="438" t="s">
        <v>491</v>
      </c>
      <c r="Y5" s="438" t="s">
        <v>23</v>
      </c>
      <c r="Z5" s="436"/>
    </row>
    <row r="6" spans="1:26" ht="14.25" customHeight="1">
      <c r="A6" s="428">
        <v>1</v>
      </c>
      <c r="B6" s="439" t="s">
        <v>725</v>
      </c>
      <c r="C6" s="428" t="s">
        <v>726</v>
      </c>
      <c r="D6" s="429">
        <v>58.79</v>
      </c>
      <c r="E6" s="429"/>
      <c r="F6" s="429"/>
      <c r="G6" s="429"/>
      <c r="H6" s="440"/>
      <c r="I6" s="440"/>
      <c r="J6" s="429"/>
      <c r="K6" s="440"/>
      <c r="L6" s="440"/>
      <c r="M6" s="429"/>
      <c r="N6" s="429"/>
      <c r="O6" s="429"/>
      <c r="P6" s="428"/>
      <c r="Q6" s="428"/>
      <c r="R6" s="428"/>
      <c r="S6" s="447"/>
      <c r="T6" s="428"/>
      <c r="U6" s="440"/>
      <c r="V6" s="440"/>
      <c r="W6" s="428"/>
      <c r="X6" s="440"/>
      <c r="Y6" s="440"/>
      <c r="Z6" s="428"/>
    </row>
    <row r="7" spans="1:26" ht="14.25" customHeight="1">
      <c r="A7" s="428">
        <f>A6+1</f>
        <v>2</v>
      </c>
      <c r="B7" s="439" t="s">
        <v>726</v>
      </c>
      <c r="C7" s="428" t="s">
        <v>727</v>
      </c>
      <c r="D7" s="429">
        <v>149.12</v>
      </c>
      <c r="E7" s="429"/>
      <c r="F7" s="429"/>
      <c r="G7" s="429"/>
      <c r="H7" s="440"/>
      <c r="I7" s="440"/>
      <c r="J7" s="429"/>
      <c r="K7" s="440"/>
      <c r="L7" s="440"/>
      <c r="M7" s="429"/>
      <c r="N7" s="429"/>
      <c r="O7" s="429"/>
      <c r="P7" s="428"/>
      <c r="Q7" s="428"/>
      <c r="R7" s="428"/>
      <c r="S7" s="447"/>
      <c r="T7" s="428"/>
      <c r="U7" s="440"/>
      <c r="V7" s="440"/>
      <c r="W7" s="428"/>
      <c r="X7" s="440"/>
      <c r="Y7" s="440"/>
      <c r="Z7" s="428"/>
    </row>
    <row r="8" spans="1:26" ht="14.25" customHeight="1">
      <c r="A8" s="428">
        <f t="shared" ref="A8:A53" si="0">A7+1</f>
        <v>3</v>
      </c>
      <c r="B8" s="428" t="s">
        <v>727</v>
      </c>
      <c r="C8" s="428" t="s">
        <v>728</v>
      </c>
      <c r="D8" s="429">
        <v>128.1</v>
      </c>
      <c r="E8" s="429"/>
      <c r="F8" s="429"/>
      <c r="G8" s="429"/>
      <c r="H8" s="440"/>
      <c r="I8" s="440"/>
      <c r="J8" s="429"/>
      <c r="K8" s="440"/>
      <c r="L8" s="440"/>
      <c r="M8" s="429"/>
      <c r="N8" s="429"/>
      <c r="O8" s="429"/>
      <c r="P8" s="428"/>
      <c r="Q8" s="428"/>
      <c r="R8" s="428"/>
      <c r="S8" s="447"/>
      <c r="T8" s="428"/>
      <c r="U8" s="440"/>
      <c r="V8" s="440"/>
      <c r="W8" s="428"/>
      <c r="X8" s="440"/>
      <c r="Y8" s="440"/>
      <c r="Z8" s="428"/>
    </row>
    <row r="9" spans="1:26" ht="14.25" customHeight="1">
      <c r="A9" s="428">
        <f t="shared" si="0"/>
        <v>4</v>
      </c>
      <c r="B9" s="428" t="s">
        <v>728</v>
      </c>
      <c r="C9" s="428" t="s">
        <v>729</v>
      </c>
      <c r="D9" s="429">
        <v>252.72</v>
      </c>
      <c r="E9" s="429"/>
      <c r="F9" s="429"/>
      <c r="G9" s="429"/>
      <c r="H9" s="440"/>
      <c r="I9" s="440"/>
      <c r="J9" s="429"/>
      <c r="K9" s="440"/>
      <c r="L9" s="440"/>
      <c r="M9" s="429"/>
      <c r="N9" s="429"/>
      <c r="O9" s="429"/>
      <c r="P9" s="428"/>
      <c r="Q9" s="428"/>
      <c r="R9" s="428"/>
      <c r="S9" s="447"/>
      <c r="T9" s="428"/>
      <c r="U9" s="440"/>
      <c r="V9" s="440"/>
      <c r="W9" s="428"/>
      <c r="X9" s="440"/>
      <c r="Y9" s="440"/>
      <c r="Z9" s="428"/>
    </row>
    <row r="10" spans="1:26" ht="14.25" customHeight="1">
      <c r="A10" s="428">
        <f t="shared" si="0"/>
        <v>5</v>
      </c>
      <c r="B10" s="428" t="s">
        <v>729</v>
      </c>
      <c r="C10" s="428" t="s">
        <v>730</v>
      </c>
      <c r="D10" s="429">
        <v>146.74</v>
      </c>
      <c r="E10" s="429"/>
      <c r="F10" s="429"/>
      <c r="G10" s="429"/>
      <c r="H10" s="440"/>
      <c r="I10" s="440"/>
      <c r="J10" s="429"/>
      <c r="K10" s="440"/>
      <c r="L10" s="440"/>
      <c r="M10" s="429"/>
      <c r="N10" s="429"/>
      <c r="O10" s="429"/>
      <c r="P10" s="428"/>
      <c r="Q10" s="428"/>
      <c r="R10" s="428"/>
      <c r="S10" s="447"/>
      <c r="T10" s="428"/>
      <c r="U10" s="440"/>
      <c r="V10" s="440"/>
      <c r="W10" s="428"/>
      <c r="X10" s="440"/>
      <c r="Y10" s="440"/>
      <c r="Z10" s="428"/>
    </row>
    <row r="11" spans="1:26" ht="14.25" customHeight="1">
      <c r="A11" s="428">
        <f t="shared" si="0"/>
        <v>6</v>
      </c>
      <c r="B11" s="428" t="s">
        <v>730</v>
      </c>
      <c r="C11" s="428" t="s">
        <v>731</v>
      </c>
      <c r="D11" s="429">
        <v>190.05</v>
      </c>
      <c r="E11" s="429"/>
      <c r="F11" s="428"/>
      <c r="G11" s="428"/>
      <c r="H11" s="440"/>
      <c r="I11" s="440"/>
      <c r="J11" s="428"/>
      <c r="K11" s="440"/>
      <c r="L11" s="440"/>
      <c r="M11" s="428"/>
      <c r="N11" s="428"/>
      <c r="O11" s="428"/>
      <c r="P11" s="428"/>
      <c r="Q11" s="428"/>
      <c r="R11" s="428"/>
      <c r="S11" s="447"/>
      <c r="T11" s="428"/>
      <c r="U11" s="440"/>
      <c r="V11" s="440"/>
      <c r="W11" s="428"/>
      <c r="X11" s="440"/>
      <c r="Y11" s="440"/>
      <c r="Z11" s="428"/>
    </row>
    <row r="12" spans="1:26" ht="14.25" customHeight="1">
      <c r="A12" s="428">
        <f t="shared" si="0"/>
        <v>7</v>
      </c>
      <c r="B12" s="428" t="s">
        <v>731</v>
      </c>
      <c r="C12" s="428" t="s">
        <v>732</v>
      </c>
      <c r="D12" s="429">
        <v>84.7</v>
      </c>
      <c r="E12" s="429"/>
      <c r="F12" s="428"/>
      <c r="G12" s="428"/>
      <c r="H12" s="440"/>
      <c r="I12" s="440"/>
      <c r="J12" s="428"/>
      <c r="K12" s="440"/>
      <c r="L12" s="440"/>
      <c r="M12" s="428"/>
      <c r="N12" s="428"/>
      <c r="O12" s="428"/>
      <c r="P12" s="428"/>
      <c r="Q12" s="428"/>
      <c r="R12" s="428"/>
      <c r="S12" s="447"/>
      <c r="T12" s="428"/>
      <c r="U12" s="440"/>
      <c r="V12" s="440"/>
      <c r="W12" s="428"/>
      <c r="X12" s="440"/>
      <c r="Y12" s="440"/>
      <c r="Z12" s="428"/>
    </row>
    <row r="13" spans="1:26" ht="14.25" customHeight="1">
      <c r="A13" s="428">
        <f t="shared" si="0"/>
        <v>8</v>
      </c>
      <c r="B13" s="428" t="s">
        <v>735</v>
      </c>
      <c r="C13" s="428" t="s">
        <v>733</v>
      </c>
      <c r="D13" s="429">
        <v>122.5</v>
      </c>
      <c r="E13" s="429"/>
      <c r="F13" s="429"/>
      <c r="G13" s="429"/>
      <c r="H13" s="440"/>
      <c r="I13" s="440"/>
      <c r="J13" s="429"/>
      <c r="K13" s="440"/>
      <c r="L13" s="440"/>
      <c r="M13" s="429"/>
      <c r="N13" s="429"/>
      <c r="O13" s="429"/>
      <c r="P13" s="428"/>
      <c r="Q13" s="428"/>
      <c r="R13" s="428"/>
      <c r="S13" s="447"/>
      <c r="T13" s="428"/>
      <c r="U13" s="440"/>
      <c r="V13" s="440"/>
      <c r="W13" s="428"/>
      <c r="X13" s="440"/>
      <c r="Y13" s="440"/>
      <c r="Z13" s="428"/>
    </row>
    <row r="14" spans="1:26" ht="14.25" customHeight="1">
      <c r="A14" s="428">
        <f t="shared" si="0"/>
        <v>9</v>
      </c>
      <c r="B14" s="428" t="s">
        <v>733</v>
      </c>
      <c r="C14" s="428" t="s">
        <v>709</v>
      </c>
      <c r="D14" s="429">
        <v>259.5</v>
      </c>
      <c r="E14" s="429"/>
      <c r="F14" s="429"/>
      <c r="G14" s="429"/>
      <c r="H14" s="440"/>
      <c r="I14" s="440"/>
      <c r="J14" s="429"/>
      <c r="K14" s="440"/>
      <c r="L14" s="440"/>
      <c r="M14" s="429"/>
      <c r="N14" s="429"/>
      <c r="O14" s="428"/>
      <c r="P14" s="428"/>
      <c r="Q14" s="428"/>
      <c r="R14" s="428"/>
      <c r="S14" s="447"/>
      <c r="T14" s="428"/>
      <c r="U14" s="440"/>
      <c r="V14" s="440"/>
      <c r="W14" s="428"/>
      <c r="X14" s="440"/>
      <c r="Y14" s="440"/>
      <c r="Z14" s="428"/>
    </row>
    <row r="15" spans="1:26" ht="14.25" customHeight="1">
      <c r="A15" s="428">
        <f t="shared" si="0"/>
        <v>10</v>
      </c>
      <c r="B15" s="428" t="s">
        <v>709</v>
      </c>
      <c r="C15" s="428" t="s">
        <v>711</v>
      </c>
      <c r="D15" s="429">
        <v>256.60000000000002</v>
      </c>
      <c r="E15" s="429"/>
      <c r="F15" s="429"/>
      <c r="G15" s="428"/>
      <c r="H15" s="440"/>
      <c r="I15" s="440"/>
      <c r="J15" s="428"/>
      <c r="K15" s="440"/>
      <c r="L15" s="440"/>
      <c r="M15" s="428"/>
      <c r="N15" s="428"/>
      <c r="O15" s="428"/>
      <c r="P15" s="428"/>
      <c r="Q15" s="428"/>
      <c r="R15" s="428"/>
      <c r="S15" s="447"/>
      <c r="T15" s="428"/>
      <c r="U15" s="440"/>
      <c r="V15" s="440"/>
      <c r="W15" s="428"/>
      <c r="X15" s="440"/>
      <c r="Y15" s="440"/>
      <c r="Z15" s="428"/>
    </row>
    <row r="16" spans="1:26" ht="14.25" customHeight="1">
      <c r="A16" s="428">
        <f t="shared" si="0"/>
        <v>11</v>
      </c>
      <c r="B16" s="428" t="s">
        <v>711</v>
      </c>
      <c r="C16" s="428" t="s">
        <v>713</v>
      </c>
      <c r="D16" s="429">
        <v>278</v>
      </c>
      <c r="E16" s="429"/>
      <c r="F16" s="429"/>
      <c r="G16" s="428"/>
      <c r="H16" s="440"/>
      <c r="I16" s="440"/>
      <c r="J16" s="428"/>
      <c r="K16" s="440"/>
      <c r="L16" s="440"/>
      <c r="M16" s="428"/>
      <c r="N16" s="428"/>
      <c r="O16" s="428"/>
      <c r="P16" s="428"/>
      <c r="Q16" s="428"/>
      <c r="R16" s="428"/>
      <c r="S16" s="447"/>
      <c r="T16" s="428"/>
      <c r="U16" s="440"/>
      <c r="V16" s="440"/>
      <c r="W16" s="428"/>
      <c r="X16" s="440"/>
      <c r="Y16" s="440"/>
      <c r="Z16" s="428"/>
    </row>
    <row r="17" spans="1:26" ht="14.25" customHeight="1">
      <c r="A17" s="428">
        <f t="shared" si="0"/>
        <v>12</v>
      </c>
      <c r="B17" s="428" t="s">
        <v>713</v>
      </c>
      <c r="C17" s="428" t="s">
        <v>714</v>
      </c>
      <c r="D17" s="429">
        <v>201.9</v>
      </c>
      <c r="E17" s="429"/>
      <c r="F17" s="429"/>
      <c r="G17" s="429"/>
      <c r="H17" s="440"/>
      <c r="I17" s="440"/>
      <c r="J17" s="429"/>
      <c r="K17" s="440"/>
      <c r="L17" s="440"/>
      <c r="M17" s="429"/>
      <c r="N17" s="429"/>
      <c r="O17" s="429"/>
      <c r="P17" s="428"/>
      <c r="Q17" s="428"/>
      <c r="R17" s="428"/>
      <c r="S17" s="447"/>
      <c r="T17" s="428"/>
      <c r="U17" s="440"/>
      <c r="V17" s="440"/>
      <c r="W17" s="428"/>
      <c r="X17" s="440"/>
      <c r="Y17" s="440"/>
      <c r="Z17" s="428"/>
    </row>
    <row r="18" spans="1:26" ht="14.25" customHeight="1">
      <c r="A18" s="428">
        <f t="shared" si="0"/>
        <v>13</v>
      </c>
      <c r="B18" s="428" t="s">
        <v>714</v>
      </c>
      <c r="C18" s="428" t="s">
        <v>38</v>
      </c>
      <c r="D18" s="429">
        <v>62.76</v>
      </c>
      <c r="E18" s="429"/>
      <c r="F18" s="429"/>
      <c r="G18" s="429"/>
      <c r="H18" s="440"/>
      <c r="I18" s="440"/>
      <c r="J18" s="429"/>
      <c r="K18" s="440"/>
      <c r="L18" s="440"/>
      <c r="M18" s="429"/>
      <c r="N18" s="429"/>
      <c r="O18" s="429"/>
      <c r="P18" s="428"/>
      <c r="Q18" s="428"/>
      <c r="R18" s="428"/>
      <c r="S18" s="447"/>
      <c r="T18" s="428"/>
      <c r="U18" s="440"/>
      <c r="V18" s="440"/>
      <c r="W18" s="428"/>
      <c r="X18" s="440"/>
      <c r="Y18" s="440"/>
      <c r="Z18" s="428"/>
    </row>
    <row r="19" spans="1:26" ht="14.25" customHeight="1">
      <c r="A19" s="428"/>
      <c r="B19" s="428" t="s">
        <v>748</v>
      </c>
      <c r="C19" s="439" t="s">
        <v>38</v>
      </c>
      <c r="D19" s="429">
        <v>48</v>
      </c>
      <c r="E19" s="452" t="s">
        <v>20</v>
      </c>
      <c r="F19" s="452" t="s">
        <v>20</v>
      </c>
      <c r="G19" s="452" t="s">
        <v>20</v>
      </c>
      <c r="H19" s="440">
        <v>46202</v>
      </c>
      <c r="I19" s="440">
        <v>46202</v>
      </c>
      <c r="J19" s="429" t="s">
        <v>20</v>
      </c>
      <c r="K19" s="440" t="s">
        <v>767</v>
      </c>
      <c r="L19" s="440">
        <v>46204</v>
      </c>
      <c r="M19" s="429"/>
      <c r="N19" s="429"/>
      <c r="O19" s="429"/>
      <c r="P19" s="428"/>
      <c r="Q19" s="428"/>
      <c r="R19" s="428"/>
      <c r="S19" s="447"/>
      <c r="T19" s="452" t="s">
        <v>20</v>
      </c>
      <c r="U19" s="440"/>
      <c r="V19" s="440"/>
      <c r="W19" s="452" t="s">
        <v>20</v>
      </c>
      <c r="X19" s="440"/>
      <c r="Y19" s="440"/>
      <c r="Z19" s="428"/>
    </row>
    <row r="20" spans="1:26" ht="14.25" customHeight="1">
      <c r="A20" s="428">
        <f>A18+1</f>
        <v>14</v>
      </c>
      <c r="B20" s="428" t="s">
        <v>38</v>
      </c>
      <c r="C20" s="428" t="s">
        <v>64</v>
      </c>
      <c r="D20" s="429">
        <v>226.7</v>
      </c>
      <c r="E20" s="452" t="s">
        <v>20</v>
      </c>
      <c r="F20" s="452" t="s">
        <v>20</v>
      </c>
      <c r="G20" s="452" t="s">
        <v>20</v>
      </c>
      <c r="H20" s="440">
        <v>46202</v>
      </c>
      <c r="I20" s="440">
        <v>46202</v>
      </c>
      <c r="J20" s="452" t="s">
        <v>20</v>
      </c>
      <c r="K20" s="440" t="s">
        <v>767</v>
      </c>
      <c r="L20" s="440">
        <v>46204</v>
      </c>
      <c r="M20" s="428"/>
      <c r="N20" s="428"/>
      <c r="O20" s="428"/>
      <c r="P20" s="428"/>
      <c r="Q20" s="428"/>
      <c r="R20" s="428"/>
      <c r="S20" s="447"/>
      <c r="T20" s="452" t="s">
        <v>20</v>
      </c>
      <c r="U20" s="440"/>
      <c r="V20" s="440"/>
      <c r="W20" s="452" t="s">
        <v>20</v>
      </c>
      <c r="X20" s="440"/>
      <c r="Y20" s="440"/>
      <c r="Z20" s="428"/>
    </row>
    <row r="21" spans="1:26" ht="14.25" customHeight="1">
      <c r="A21" s="428">
        <f t="shared" si="0"/>
        <v>15</v>
      </c>
      <c r="B21" s="428" t="s">
        <v>64</v>
      </c>
      <c r="C21" s="428" t="s">
        <v>344</v>
      </c>
      <c r="D21" s="429">
        <v>234.6</v>
      </c>
      <c r="E21" s="452" t="s">
        <v>20</v>
      </c>
      <c r="F21" s="452" t="s">
        <v>20</v>
      </c>
      <c r="G21" s="452" t="s">
        <v>20</v>
      </c>
      <c r="H21" s="440">
        <v>46200</v>
      </c>
      <c r="I21" s="440">
        <v>46201</v>
      </c>
      <c r="J21" s="452" t="s">
        <v>20</v>
      </c>
      <c r="K21" s="440" t="s">
        <v>767</v>
      </c>
      <c r="L21" s="440">
        <v>46204</v>
      </c>
      <c r="M21" s="428"/>
      <c r="N21" s="428"/>
      <c r="O21" s="428"/>
      <c r="P21" s="428"/>
      <c r="Q21" s="428"/>
      <c r="R21" s="428"/>
      <c r="S21" s="447"/>
      <c r="T21" s="452" t="s">
        <v>20</v>
      </c>
      <c r="U21" s="440"/>
      <c r="V21" s="440"/>
      <c r="W21" s="452" t="s">
        <v>20</v>
      </c>
      <c r="X21" s="440"/>
      <c r="Y21" s="440"/>
      <c r="Z21" s="428"/>
    </row>
    <row r="22" spans="1:26" ht="14.25" customHeight="1">
      <c r="A22" s="428">
        <f t="shared" si="0"/>
        <v>16</v>
      </c>
      <c r="B22" s="428" t="s">
        <v>344</v>
      </c>
      <c r="C22" s="428" t="s">
        <v>67</v>
      </c>
      <c r="D22" s="429">
        <v>285.2</v>
      </c>
      <c r="E22" s="452" t="s">
        <v>20</v>
      </c>
      <c r="F22" s="452" t="s">
        <v>20</v>
      </c>
      <c r="G22" s="452" t="s">
        <v>20</v>
      </c>
      <c r="H22" s="440">
        <v>46200</v>
      </c>
      <c r="I22" s="440">
        <v>46201</v>
      </c>
      <c r="J22" s="452" t="s">
        <v>20</v>
      </c>
      <c r="K22" s="440" t="s">
        <v>767</v>
      </c>
      <c r="L22" s="440">
        <v>46204</v>
      </c>
      <c r="M22" s="428"/>
      <c r="N22" s="428"/>
      <c r="O22" s="428"/>
      <c r="P22" s="428"/>
      <c r="Q22" s="428"/>
      <c r="R22" s="428"/>
      <c r="S22" s="447"/>
      <c r="T22" s="452" t="s">
        <v>20</v>
      </c>
      <c r="U22" s="440"/>
      <c r="V22" s="440"/>
      <c r="W22" s="452" t="s">
        <v>20</v>
      </c>
      <c r="X22" s="440"/>
      <c r="Y22" s="440"/>
      <c r="Z22" s="428"/>
    </row>
    <row r="23" spans="1:26" ht="14.25" customHeight="1">
      <c r="A23" s="428">
        <f t="shared" si="0"/>
        <v>17</v>
      </c>
      <c r="B23" s="428" t="s">
        <v>67</v>
      </c>
      <c r="C23" s="428" t="s">
        <v>310</v>
      </c>
      <c r="D23" s="429">
        <v>235.8</v>
      </c>
      <c r="E23" s="452" t="s">
        <v>20</v>
      </c>
      <c r="F23" s="452" t="s">
        <v>20</v>
      </c>
      <c r="G23" s="452" t="s">
        <v>20</v>
      </c>
      <c r="H23" s="440">
        <v>46149</v>
      </c>
      <c r="I23" s="440">
        <v>46150</v>
      </c>
      <c r="J23" s="452" t="s">
        <v>20</v>
      </c>
      <c r="K23" s="440">
        <f>I23</f>
        <v>46150</v>
      </c>
      <c r="L23" s="440">
        <f>K23+1</f>
        <v>46151</v>
      </c>
      <c r="M23" s="452" t="s">
        <v>20</v>
      </c>
      <c r="N23" s="452" t="s">
        <v>20</v>
      </c>
      <c r="O23" s="429"/>
      <c r="P23" s="428" t="s">
        <v>758</v>
      </c>
      <c r="Q23" s="428"/>
      <c r="R23" s="428"/>
      <c r="S23" s="447"/>
      <c r="T23" s="452" t="s">
        <v>20</v>
      </c>
      <c r="U23" s="557">
        <v>46156</v>
      </c>
      <c r="V23" s="557">
        <v>46156</v>
      </c>
      <c r="W23" s="452" t="s">
        <v>20</v>
      </c>
      <c r="X23" s="557">
        <v>46157</v>
      </c>
      <c r="Y23" s="557">
        <v>46157</v>
      </c>
      <c r="Z23" s="428" t="s">
        <v>762</v>
      </c>
    </row>
    <row r="24" spans="1:26" ht="14.25" customHeight="1">
      <c r="A24" s="428">
        <f t="shared" si="0"/>
        <v>18</v>
      </c>
      <c r="B24" s="428" t="s">
        <v>310</v>
      </c>
      <c r="C24" s="428" t="s">
        <v>69</v>
      </c>
      <c r="D24" s="429">
        <v>197.4</v>
      </c>
      <c r="E24" s="452" t="s">
        <v>20</v>
      </c>
      <c r="F24" s="452" t="s">
        <v>20</v>
      </c>
      <c r="G24" s="452" t="s">
        <v>20</v>
      </c>
      <c r="H24" s="440">
        <v>46149</v>
      </c>
      <c r="I24" s="440">
        <v>46150</v>
      </c>
      <c r="J24" s="452" t="s">
        <v>20</v>
      </c>
      <c r="K24" s="440">
        <f>I24</f>
        <v>46150</v>
      </c>
      <c r="L24" s="440">
        <f>K24+1</f>
        <v>46151</v>
      </c>
      <c r="M24" s="452" t="s">
        <v>20</v>
      </c>
      <c r="N24" s="452" t="s">
        <v>20</v>
      </c>
      <c r="O24" s="452" t="s">
        <v>20</v>
      </c>
      <c r="P24" s="428" t="s">
        <v>758</v>
      </c>
      <c r="Q24" s="428"/>
      <c r="R24" s="428"/>
      <c r="S24" s="447"/>
      <c r="T24" s="452" t="s">
        <v>20</v>
      </c>
      <c r="U24" s="557">
        <v>46156</v>
      </c>
      <c r="V24" s="557">
        <v>46156</v>
      </c>
      <c r="W24" s="452" t="s">
        <v>20</v>
      </c>
      <c r="X24" s="557">
        <v>46157</v>
      </c>
      <c r="Y24" s="557">
        <v>46157</v>
      </c>
      <c r="Z24" s="428" t="s">
        <v>762</v>
      </c>
    </row>
    <row r="25" spans="1:26" ht="14.25" customHeight="1">
      <c r="A25" s="428">
        <f t="shared" si="0"/>
        <v>19</v>
      </c>
      <c r="B25" s="428" t="s">
        <v>69</v>
      </c>
      <c r="C25" s="428" t="s">
        <v>71</v>
      </c>
      <c r="D25" s="429">
        <v>43.6</v>
      </c>
      <c r="E25" s="452" t="s">
        <v>20</v>
      </c>
      <c r="F25" s="452" t="s">
        <v>20</v>
      </c>
      <c r="G25" s="452" t="s">
        <v>20</v>
      </c>
      <c r="H25" s="440">
        <v>46111</v>
      </c>
      <c r="I25" s="440">
        <v>46112</v>
      </c>
      <c r="J25" s="452" t="s">
        <v>20</v>
      </c>
      <c r="K25" s="440">
        <v>46113</v>
      </c>
      <c r="L25" s="440">
        <v>46114</v>
      </c>
      <c r="M25" s="452" t="s">
        <v>20</v>
      </c>
      <c r="N25" s="452" t="s">
        <v>20</v>
      </c>
      <c r="O25" s="452" t="s">
        <v>20</v>
      </c>
      <c r="P25" s="428" t="s">
        <v>758</v>
      </c>
      <c r="Q25" s="428"/>
      <c r="R25" s="428"/>
      <c r="S25" s="447"/>
      <c r="T25" s="452" t="s">
        <v>20</v>
      </c>
      <c r="U25" s="557">
        <v>46156</v>
      </c>
      <c r="V25" s="557">
        <v>46156</v>
      </c>
      <c r="W25" s="452" t="s">
        <v>20</v>
      </c>
      <c r="X25" s="557">
        <v>46157</v>
      </c>
      <c r="Y25" s="557">
        <v>46157</v>
      </c>
      <c r="Z25" s="428" t="s">
        <v>762</v>
      </c>
    </row>
    <row r="26" spans="1:26" ht="14.25" customHeight="1">
      <c r="A26" s="428">
        <f t="shared" si="0"/>
        <v>20</v>
      </c>
      <c r="B26" s="428" t="s">
        <v>71</v>
      </c>
      <c r="C26" s="428" t="s">
        <v>72</v>
      </c>
      <c r="D26" s="429">
        <v>52</v>
      </c>
      <c r="E26" s="452" t="s">
        <v>20</v>
      </c>
      <c r="F26" s="452" t="s">
        <v>20</v>
      </c>
      <c r="G26" s="452" t="s">
        <v>20</v>
      </c>
      <c r="H26" s="440">
        <v>46111</v>
      </c>
      <c r="I26" s="440">
        <v>46112</v>
      </c>
      <c r="J26" s="452" t="s">
        <v>20</v>
      </c>
      <c r="K26" s="440">
        <v>46112</v>
      </c>
      <c r="L26" s="440">
        <v>46112</v>
      </c>
      <c r="M26" s="452" t="s">
        <v>20</v>
      </c>
      <c r="N26" s="452" t="s">
        <v>20</v>
      </c>
      <c r="O26" s="452" t="s">
        <v>20</v>
      </c>
      <c r="P26" s="428"/>
      <c r="Q26" s="428"/>
      <c r="R26" s="428"/>
      <c r="S26" s="447"/>
      <c r="T26" s="452" t="s">
        <v>20</v>
      </c>
      <c r="U26" s="557">
        <v>46156</v>
      </c>
      <c r="V26" s="557">
        <v>46156</v>
      </c>
      <c r="W26" s="452" t="s">
        <v>20</v>
      </c>
      <c r="X26" s="557">
        <v>46157</v>
      </c>
      <c r="Y26" s="557">
        <v>46157</v>
      </c>
      <c r="Z26" s="428" t="s">
        <v>762</v>
      </c>
    </row>
    <row r="27" spans="1:26" ht="14.25" customHeight="1">
      <c r="A27" s="428">
        <f t="shared" si="0"/>
        <v>21</v>
      </c>
      <c r="B27" s="428" t="s">
        <v>72</v>
      </c>
      <c r="C27" s="428" t="s">
        <v>93</v>
      </c>
      <c r="D27" s="429">
        <v>47.1</v>
      </c>
      <c r="E27" s="452" t="s">
        <v>20</v>
      </c>
      <c r="F27" s="452" t="s">
        <v>20</v>
      </c>
      <c r="G27" s="452" t="s">
        <v>20</v>
      </c>
      <c r="H27" s="440">
        <v>46111</v>
      </c>
      <c r="I27" s="440">
        <v>46112</v>
      </c>
      <c r="J27" s="452" t="s">
        <v>20</v>
      </c>
      <c r="K27" s="440">
        <v>46113</v>
      </c>
      <c r="L27" s="440">
        <v>46114</v>
      </c>
      <c r="M27" s="452" t="s">
        <v>20</v>
      </c>
      <c r="N27" s="452" t="s">
        <v>20</v>
      </c>
      <c r="O27" s="452" t="s">
        <v>20</v>
      </c>
      <c r="P27" s="428" t="s">
        <v>739</v>
      </c>
      <c r="Q27" s="428"/>
      <c r="R27" s="428"/>
      <c r="S27" s="447"/>
      <c r="T27" s="452" t="s">
        <v>20</v>
      </c>
      <c r="U27" s="557">
        <v>46156</v>
      </c>
      <c r="V27" s="557">
        <v>46156</v>
      </c>
      <c r="W27" s="452" t="s">
        <v>20</v>
      </c>
      <c r="X27" s="557">
        <v>46157</v>
      </c>
      <c r="Y27" s="557">
        <v>46157</v>
      </c>
      <c r="Z27" s="428" t="s">
        <v>762</v>
      </c>
    </row>
    <row r="28" spans="1:26" ht="14.25" customHeight="1">
      <c r="A28" s="428">
        <f t="shared" si="0"/>
        <v>22</v>
      </c>
      <c r="B28" s="428" t="s">
        <v>93</v>
      </c>
      <c r="C28" s="428" t="s">
        <v>104</v>
      </c>
      <c r="D28" s="429">
        <v>286.39999999999998</v>
      </c>
      <c r="E28" s="452" t="s">
        <v>20</v>
      </c>
      <c r="F28" s="452" t="s">
        <v>20</v>
      </c>
      <c r="G28" s="452" t="s">
        <v>20</v>
      </c>
      <c r="H28" s="440">
        <v>46106</v>
      </c>
      <c r="I28" s="440">
        <v>46106</v>
      </c>
      <c r="J28" s="452" t="s">
        <v>20</v>
      </c>
      <c r="K28" s="440">
        <v>46113</v>
      </c>
      <c r="L28" s="440">
        <v>46114</v>
      </c>
      <c r="M28" s="452" t="s">
        <v>20</v>
      </c>
      <c r="N28" s="452" t="s">
        <v>20</v>
      </c>
      <c r="O28" s="452" t="s">
        <v>20</v>
      </c>
      <c r="P28" s="428" t="s">
        <v>739</v>
      </c>
      <c r="Q28" s="428"/>
      <c r="R28" s="428"/>
      <c r="S28" s="447"/>
      <c r="T28" s="452" t="s">
        <v>20</v>
      </c>
      <c r="U28" s="557">
        <v>46156</v>
      </c>
      <c r="V28" s="557">
        <v>46156</v>
      </c>
      <c r="W28" s="452" t="s">
        <v>20</v>
      </c>
      <c r="X28" s="557">
        <v>46157</v>
      </c>
      <c r="Y28" s="557">
        <v>46157</v>
      </c>
      <c r="Z28" s="428" t="s">
        <v>762</v>
      </c>
    </row>
    <row r="29" spans="1:26" ht="14.25" customHeight="1">
      <c r="A29" s="428">
        <f t="shared" si="0"/>
        <v>23</v>
      </c>
      <c r="B29" s="428" t="s">
        <v>104</v>
      </c>
      <c r="C29" s="428" t="s">
        <v>696</v>
      </c>
      <c r="D29" s="429">
        <v>312</v>
      </c>
      <c r="E29" s="452" t="s">
        <v>20</v>
      </c>
      <c r="F29" s="452" t="s">
        <v>20</v>
      </c>
      <c r="G29" s="452" t="s">
        <v>20</v>
      </c>
      <c r="H29" s="440">
        <v>46107</v>
      </c>
      <c r="I29" s="440">
        <v>46108</v>
      </c>
      <c r="J29" s="452" t="s">
        <v>20</v>
      </c>
      <c r="K29" s="440">
        <v>46111</v>
      </c>
      <c r="L29" s="440">
        <v>46111</v>
      </c>
      <c r="M29" s="452" t="s">
        <v>20</v>
      </c>
      <c r="N29" s="452" t="s">
        <v>20</v>
      </c>
      <c r="O29" s="452" t="s">
        <v>20</v>
      </c>
      <c r="P29" s="428" t="s">
        <v>739</v>
      </c>
      <c r="Q29" s="428"/>
      <c r="R29" s="428"/>
      <c r="S29" s="447"/>
      <c r="T29" s="452" t="s">
        <v>20</v>
      </c>
      <c r="U29" s="557">
        <v>46156</v>
      </c>
      <c r="V29" s="557">
        <v>46156</v>
      </c>
      <c r="W29" s="452" t="s">
        <v>20</v>
      </c>
      <c r="X29" s="557">
        <v>46157</v>
      </c>
      <c r="Y29" s="557">
        <v>46157</v>
      </c>
      <c r="Z29" s="428" t="s">
        <v>762</v>
      </c>
    </row>
    <row r="30" spans="1:26" ht="14.25" customHeight="1">
      <c r="A30" s="428">
        <f t="shared" si="0"/>
        <v>24</v>
      </c>
      <c r="B30" s="428" t="s">
        <v>696</v>
      </c>
      <c r="C30" s="428" t="s">
        <v>697</v>
      </c>
      <c r="D30" s="429">
        <v>333</v>
      </c>
      <c r="E30" s="452" t="s">
        <v>20</v>
      </c>
      <c r="F30" s="452" t="s">
        <v>20</v>
      </c>
      <c r="G30" s="452" t="s">
        <v>20</v>
      </c>
      <c r="H30" s="440">
        <v>46107</v>
      </c>
      <c r="I30" s="440">
        <v>46108</v>
      </c>
      <c r="J30" s="452" t="s">
        <v>20</v>
      </c>
      <c r="K30" s="440">
        <v>46111</v>
      </c>
      <c r="L30" s="440">
        <v>46111</v>
      </c>
      <c r="M30" s="452" t="s">
        <v>20</v>
      </c>
      <c r="N30" s="452" t="s">
        <v>20</v>
      </c>
      <c r="O30" s="452" t="s">
        <v>20</v>
      </c>
      <c r="P30" s="428" t="s">
        <v>739</v>
      </c>
      <c r="Q30" s="428"/>
      <c r="R30" s="428"/>
      <c r="S30" s="447"/>
      <c r="T30" s="452" t="s">
        <v>20</v>
      </c>
      <c r="U30" s="557">
        <v>46156</v>
      </c>
      <c r="V30" s="557">
        <v>46156</v>
      </c>
      <c r="W30" s="452" t="s">
        <v>20</v>
      </c>
      <c r="X30" s="557">
        <v>46157</v>
      </c>
      <c r="Y30" s="557">
        <v>46157</v>
      </c>
      <c r="Z30" s="428" t="s">
        <v>762</v>
      </c>
    </row>
    <row r="31" spans="1:26" ht="14.25" customHeight="1">
      <c r="A31" s="428">
        <f t="shared" si="0"/>
        <v>25</v>
      </c>
      <c r="B31" s="428" t="s">
        <v>697</v>
      </c>
      <c r="C31" s="428" t="s">
        <v>698</v>
      </c>
      <c r="D31" s="429">
        <v>297</v>
      </c>
      <c r="E31" s="452" t="s">
        <v>20</v>
      </c>
      <c r="F31" s="452" t="s">
        <v>20</v>
      </c>
      <c r="G31" s="452" t="s">
        <v>20</v>
      </c>
      <c r="H31" s="440">
        <v>46107</v>
      </c>
      <c r="I31" s="440">
        <v>46108</v>
      </c>
      <c r="J31" s="452" t="s">
        <v>20</v>
      </c>
      <c r="K31" s="440">
        <v>46111</v>
      </c>
      <c r="L31" s="440">
        <v>46111</v>
      </c>
      <c r="M31" s="452" t="s">
        <v>20</v>
      </c>
      <c r="N31" s="452" t="s">
        <v>20</v>
      </c>
      <c r="O31" s="452" t="s">
        <v>20</v>
      </c>
      <c r="P31" s="428" t="s">
        <v>739</v>
      </c>
      <c r="Q31" s="428"/>
      <c r="R31" s="428"/>
      <c r="S31" s="447"/>
      <c r="T31" s="452" t="s">
        <v>20</v>
      </c>
      <c r="U31" s="557">
        <v>46156</v>
      </c>
      <c r="V31" s="557">
        <v>46156</v>
      </c>
      <c r="W31" s="452" t="s">
        <v>20</v>
      </c>
      <c r="X31" s="557">
        <v>46157</v>
      </c>
      <c r="Y31" s="557">
        <v>46157</v>
      </c>
      <c r="Z31" s="428" t="s">
        <v>762</v>
      </c>
    </row>
    <row r="32" spans="1:26" ht="14.25" customHeight="1">
      <c r="A32" s="428">
        <f t="shared" si="0"/>
        <v>26</v>
      </c>
      <c r="B32" s="428" t="s">
        <v>698</v>
      </c>
      <c r="C32" s="428" t="s">
        <v>699</v>
      </c>
      <c r="D32" s="429">
        <v>238.5</v>
      </c>
      <c r="E32" s="452" t="s">
        <v>20</v>
      </c>
      <c r="F32" s="452" t="s">
        <v>20</v>
      </c>
      <c r="G32" s="452" t="s">
        <v>20</v>
      </c>
      <c r="H32" s="440">
        <v>46107</v>
      </c>
      <c r="I32" s="440">
        <v>46108</v>
      </c>
      <c r="J32" s="452" t="s">
        <v>20</v>
      </c>
      <c r="K32" s="440">
        <v>46111</v>
      </c>
      <c r="L32" s="440">
        <v>46111</v>
      </c>
      <c r="M32" s="452" t="s">
        <v>20</v>
      </c>
      <c r="N32" s="452" t="s">
        <v>20</v>
      </c>
      <c r="O32" s="452" t="s">
        <v>20</v>
      </c>
      <c r="P32" s="428" t="s">
        <v>739</v>
      </c>
      <c r="Q32" s="428"/>
      <c r="R32" s="428"/>
      <c r="S32" s="447"/>
      <c r="T32" s="452" t="s">
        <v>20</v>
      </c>
      <c r="U32" s="557">
        <v>46156</v>
      </c>
      <c r="V32" s="557">
        <v>46156</v>
      </c>
      <c r="W32" s="452" t="s">
        <v>20</v>
      </c>
      <c r="X32" s="557">
        <v>46157</v>
      </c>
      <c r="Y32" s="557">
        <v>46157</v>
      </c>
      <c r="Z32" s="428" t="s">
        <v>762</v>
      </c>
    </row>
    <row r="33" spans="1:26" ht="14.25" customHeight="1">
      <c r="A33" s="428">
        <f t="shared" si="0"/>
        <v>27</v>
      </c>
      <c r="B33" s="428" t="s">
        <v>699</v>
      </c>
      <c r="C33" s="428" t="s">
        <v>106</v>
      </c>
      <c r="D33" s="429">
        <v>320.8</v>
      </c>
      <c r="E33" s="452" t="s">
        <v>20</v>
      </c>
      <c r="F33" s="452" t="s">
        <v>20</v>
      </c>
      <c r="G33" s="452" t="s">
        <v>20</v>
      </c>
      <c r="H33" s="440">
        <v>46107</v>
      </c>
      <c r="I33" s="440">
        <v>46108</v>
      </c>
      <c r="J33" s="452" t="s">
        <v>20</v>
      </c>
      <c r="K33" s="440">
        <v>46111</v>
      </c>
      <c r="L33" s="440">
        <v>46111</v>
      </c>
      <c r="M33" s="452" t="s">
        <v>20</v>
      </c>
      <c r="N33" s="452" t="s">
        <v>20</v>
      </c>
      <c r="O33" s="452" t="s">
        <v>20</v>
      </c>
      <c r="P33" s="428" t="s">
        <v>739</v>
      </c>
      <c r="Q33" s="428"/>
      <c r="R33" s="428"/>
      <c r="S33" s="447"/>
      <c r="T33" s="452" t="s">
        <v>20</v>
      </c>
      <c r="U33" s="557">
        <v>46156</v>
      </c>
      <c r="V33" s="557">
        <v>46156</v>
      </c>
      <c r="W33" s="452" t="s">
        <v>20</v>
      </c>
      <c r="X33" s="557">
        <v>46157</v>
      </c>
      <c r="Y33" s="557">
        <v>46157</v>
      </c>
      <c r="Z33" s="428" t="s">
        <v>762</v>
      </c>
    </row>
    <row r="34" spans="1:26" ht="14.25" customHeight="1">
      <c r="A34" s="428">
        <f t="shared" si="0"/>
        <v>28</v>
      </c>
      <c r="B34" s="428" t="s">
        <v>106</v>
      </c>
      <c r="C34" s="428" t="s">
        <v>111</v>
      </c>
      <c r="D34" s="429">
        <v>278.10000000000002</v>
      </c>
      <c r="E34" s="452" t="s">
        <v>20</v>
      </c>
      <c r="F34" s="452" t="s">
        <v>20</v>
      </c>
      <c r="G34" s="452" t="s">
        <v>20</v>
      </c>
      <c r="H34" s="440">
        <v>46104</v>
      </c>
      <c r="I34" s="440">
        <v>46105</v>
      </c>
      <c r="J34" s="452" t="s">
        <v>20</v>
      </c>
      <c r="K34" s="440">
        <v>46110</v>
      </c>
      <c r="L34" s="440">
        <v>46110</v>
      </c>
      <c r="M34" s="452" t="s">
        <v>20</v>
      </c>
      <c r="N34" s="452" t="s">
        <v>20</v>
      </c>
      <c r="O34" s="452" t="s">
        <v>20</v>
      </c>
      <c r="P34" s="428" t="s">
        <v>739</v>
      </c>
      <c r="Q34" s="428"/>
      <c r="R34" s="428"/>
      <c r="S34" s="447"/>
      <c r="T34" s="452" t="s">
        <v>20</v>
      </c>
      <c r="U34" s="557">
        <v>46156</v>
      </c>
      <c r="V34" s="557">
        <v>46156</v>
      </c>
      <c r="W34" s="452" t="s">
        <v>20</v>
      </c>
      <c r="X34" s="557">
        <v>46157</v>
      </c>
      <c r="Y34" s="557">
        <v>46157</v>
      </c>
      <c r="Z34" s="428" t="s">
        <v>762</v>
      </c>
    </row>
    <row r="35" spans="1:26" ht="14.25" customHeight="1">
      <c r="A35" s="428">
        <f t="shared" si="0"/>
        <v>29</v>
      </c>
      <c r="B35" s="428" t="s">
        <v>111</v>
      </c>
      <c r="C35" s="428" t="s">
        <v>320</v>
      </c>
      <c r="D35" s="429">
        <v>386</v>
      </c>
      <c r="E35" s="452" t="s">
        <v>20</v>
      </c>
      <c r="F35" s="452" t="s">
        <v>20</v>
      </c>
      <c r="G35" s="452" t="s">
        <v>20</v>
      </c>
      <c r="H35" s="440">
        <v>46098</v>
      </c>
      <c r="I35" s="440">
        <v>46099</v>
      </c>
      <c r="J35" s="452" t="s">
        <v>20</v>
      </c>
      <c r="K35" s="440">
        <v>46100</v>
      </c>
      <c r="L35" s="440">
        <v>46101</v>
      </c>
      <c r="M35" s="452" t="s">
        <v>20</v>
      </c>
      <c r="N35" s="452" t="s">
        <v>20</v>
      </c>
      <c r="O35" s="452" t="s">
        <v>20</v>
      </c>
      <c r="P35" s="443" t="s">
        <v>736</v>
      </c>
      <c r="Q35" s="428"/>
      <c r="R35" s="428"/>
      <c r="S35" s="447"/>
      <c r="T35" s="452" t="s">
        <v>20</v>
      </c>
      <c r="U35" s="557">
        <v>46156</v>
      </c>
      <c r="V35" s="557">
        <v>46156</v>
      </c>
      <c r="W35" s="452" t="s">
        <v>20</v>
      </c>
      <c r="X35" s="557">
        <v>46157</v>
      </c>
      <c r="Y35" s="557">
        <v>46157</v>
      </c>
      <c r="Z35" s="428" t="s">
        <v>762</v>
      </c>
    </row>
    <row r="36" spans="1:26" ht="14.25" customHeight="1">
      <c r="A36" s="428">
        <f t="shared" si="0"/>
        <v>30</v>
      </c>
      <c r="B36" s="428" t="s">
        <v>320</v>
      </c>
      <c r="C36" s="428" t="s">
        <v>322</v>
      </c>
      <c r="D36" s="429">
        <v>259.89999999999998</v>
      </c>
      <c r="E36" s="452" t="s">
        <v>20</v>
      </c>
      <c r="F36" s="452" t="s">
        <v>20</v>
      </c>
      <c r="G36" s="452" t="s">
        <v>20</v>
      </c>
      <c r="H36" s="440">
        <v>46098</v>
      </c>
      <c r="I36" s="440">
        <v>46099</v>
      </c>
      <c r="J36" s="452" t="s">
        <v>20</v>
      </c>
      <c r="K36" s="440">
        <v>46100</v>
      </c>
      <c r="L36" s="440">
        <v>46101</v>
      </c>
      <c r="M36" s="429"/>
      <c r="N36" s="429"/>
      <c r="O36" s="429"/>
      <c r="P36" s="443" t="s">
        <v>736</v>
      </c>
      <c r="Q36" s="428"/>
      <c r="R36" s="428"/>
      <c r="S36" s="447"/>
      <c r="T36" s="452" t="s">
        <v>20</v>
      </c>
      <c r="U36" s="440">
        <f>V36-2</f>
        <v>46158</v>
      </c>
      <c r="V36" s="557">
        <v>46160</v>
      </c>
      <c r="W36" s="452" t="s">
        <v>20</v>
      </c>
      <c r="X36" s="557">
        <v>46161</v>
      </c>
      <c r="Y36" s="557">
        <v>46161</v>
      </c>
      <c r="Z36" s="428"/>
    </row>
    <row r="37" spans="1:26" ht="14.25" customHeight="1">
      <c r="A37" s="428">
        <f t="shared" si="0"/>
        <v>31</v>
      </c>
      <c r="B37" s="428" t="s">
        <v>322</v>
      </c>
      <c r="C37" s="428" t="s">
        <v>324</v>
      </c>
      <c r="D37" s="429">
        <v>215.1</v>
      </c>
      <c r="E37" s="452" t="s">
        <v>20</v>
      </c>
      <c r="F37" s="452" t="s">
        <v>20</v>
      </c>
      <c r="G37" s="452" t="s">
        <v>20</v>
      </c>
      <c r="H37" s="440"/>
      <c r="I37" s="440"/>
      <c r="J37" s="452" t="s">
        <v>20</v>
      </c>
      <c r="K37" s="440">
        <v>46160</v>
      </c>
      <c r="L37" s="440">
        <v>46161</v>
      </c>
      <c r="M37" s="429"/>
      <c r="N37" s="429"/>
      <c r="O37" s="452" t="s">
        <v>20</v>
      </c>
      <c r="P37" s="428"/>
      <c r="Q37" s="428"/>
      <c r="R37" s="428"/>
      <c r="S37" s="447"/>
      <c r="T37" s="452" t="s">
        <v>20</v>
      </c>
      <c r="U37" s="440">
        <f t="shared" ref="U37:U53" si="1">V37-2</f>
        <v>46158</v>
      </c>
      <c r="V37" s="557">
        <v>46160</v>
      </c>
      <c r="W37" s="452" t="s">
        <v>20</v>
      </c>
      <c r="X37" s="557">
        <v>46161</v>
      </c>
      <c r="Y37" s="557">
        <v>46161</v>
      </c>
      <c r="Z37" s="428"/>
    </row>
    <row r="38" spans="1:26" ht="14.25" customHeight="1">
      <c r="A38" s="428">
        <f t="shared" si="0"/>
        <v>32</v>
      </c>
      <c r="B38" s="428" t="s">
        <v>324</v>
      </c>
      <c r="C38" s="428" t="s">
        <v>326</v>
      </c>
      <c r="D38" s="429">
        <v>316.10000000000002</v>
      </c>
      <c r="E38" s="452" t="s">
        <v>20</v>
      </c>
      <c r="F38" s="452" t="s">
        <v>20</v>
      </c>
      <c r="G38" s="452" t="s">
        <v>20</v>
      </c>
      <c r="H38" s="440">
        <v>46152</v>
      </c>
      <c r="I38" s="440">
        <f>H38+1</f>
        <v>46153</v>
      </c>
      <c r="J38" s="452" t="s">
        <v>20</v>
      </c>
      <c r="K38" s="440">
        <f>I38+1</f>
        <v>46154</v>
      </c>
      <c r="L38" s="440">
        <f>K38+1</f>
        <v>46155</v>
      </c>
      <c r="M38" s="452" t="s">
        <v>20</v>
      </c>
      <c r="N38" s="452" t="s">
        <v>20</v>
      </c>
      <c r="O38" s="452" t="s">
        <v>20</v>
      </c>
      <c r="P38" s="428" t="s">
        <v>758</v>
      </c>
      <c r="Q38" s="428"/>
      <c r="R38" s="428"/>
      <c r="S38" s="447"/>
      <c r="T38" s="452" t="s">
        <v>20</v>
      </c>
      <c r="U38" s="440">
        <f t="shared" si="1"/>
        <v>46158</v>
      </c>
      <c r="V38" s="557">
        <v>46160</v>
      </c>
      <c r="W38" s="452" t="s">
        <v>20</v>
      </c>
      <c r="X38" s="557">
        <v>46161</v>
      </c>
      <c r="Y38" s="557">
        <v>46161</v>
      </c>
      <c r="Z38" s="428"/>
    </row>
    <row r="39" spans="1:26" ht="14.25" customHeight="1">
      <c r="A39" s="428">
        <f t="shared" si="0"/>
        <v>33</v>
      </c>
      <c r="B39" s="428" t="s">
        <v>326</v>
      </c>
      <c r="C39" s="428" t="s">
        <v>328</v>
      </c>
      <c r="D39" s="429">
        <v>274</v>
      </c>
      <c r="E39" s="452" t="s">
        <v>20</v>
      </c>
      <c r="F39" s="452" t="s">
        <v>20</v>
      </c>
      <c r="G39" s="452" t="s">
        <v>20</v>
      </c>
      <c r="H39" s="440">
        <v>46094</v>
      </c>
      <c r="I39" s="440">
        <v>46094</v>
      </c>
      <c r="J39" s="452" t="s">
        <v>20</v>
      </c>
      <c r="K39" s="440">
        <v>46097</v>
      </c>
      <c r="L39" s="440">
        <v>46097</v>
      </c>
      <c r="M39" s="429"/>
      <c r="N39" s="429"/>
      <c r="O39" s="429"/>
      <c r="P39" s="443" t="s">
        <v>736</v>
      </c>
      <c r="Q39" s="428"/>
      <c r="R39" s="428"/>
      <c r="S39" s="447"/>
      <c r="T39" s="452" t="s">
        <v>20</v>
      </c>
      <c r="U39" s="440">
        <f t="shared" si="1"/>
        <v>46158</v>
      </c>
      <c r="V39" s="557">
        <v>46160</v>
      </c>
      <c r="W39" s="452" t="s">
        <v>20</v>
      </c>
      <c r="X39" s="557">
        <v>46161</v>
      </c>
      <c r="Y39" s="557">
        <v>46161</v>
      </c>
      <c r="Z39" s="428"/>
    </row>
    <row r="40" spans="1:26" ht="14.25" customHeight="1">
      <c r="A40" s="428">
        <f t="shared" si="0"/>
        <v>34</v>
      </c>
      <c r="B40" s="428" t="s">
        <v>328</v>
      </c>
      <c r="C40" s="428" t="s">
        <v>329</v>
      </c>
      <c r="D40" s="429">
        <v>293.3</v>
      </c>
      <c r="E40" s="452" t="s">
        <v>20</v>
      </c>
      <c r="F40" s="452" t="s">
        <v>20</v>
      </c>
      <c r="G40" s="452" t="s">
        <v>20</v>
      </c>
      <c r="H40" s="440">
        <v>46094</v>
      </c>
      <c r="I40" s="440">
        <v>46094</v>
      </c>
      <c r="J40" s="452" t="s">
        <v>20</v>
      </c>
      <c r="K40" s="440">
        <v>46097</v>
      </c>
      <c r="L40" s="440">
        <v>46097</v>
      </c>
      <c r="M40" s="452" t="s">
        <v>20</v>
      </c>
      <c r="N40" s="452" t="s">
        <v>20</v>
      </c>
      <c r="O40" s="428"/>
      <c r="P40" s="443" t="s">
        <v>736</v>
      </c>
      <c r="Q40" s="428"/>
      <c r="R40" s="428"/>
      <c r="S40" s="447"/>
      <c r="T40" s="452" t="s">
        <v>20</v>
      </c>
      <c r="U40" s="440">
        <f t="shared" si="1"/>
        <v>46158</v>
      </c>
      <c r="V40" s="557">
        <v>46160</v>
      </c>
      <c r="W40" s="452" t="s">
        <v>20</v>
      </c>
      <c r="X40" s="557">
        <v>46161</v>
      </c>
      <c r="Y40" s="557">
        <v>46161</v>
      </c>
      <c r="Z40" s="428"/>
    </row>
    <row r="41" spans="1:26" ht="14.25" customHeight="1">
      <c r="A41" s="428">
        <f t="shared" si="0"/>
        <v>35</v>
      </c>
      <c r="B41" s="428" t="s">
        <v>329</v>
      </c>
      <c r="C41" s="428" t="s">
        <v>167</v>
      </c>
      <c r="D41" s="429">
        <v>48</v>
      </c>
      <c r="E41" s="452" t="s">
        <v>20</v>
      </c>
      <c r="F41" s="452" t="s">
        <v>20</v>
      </c>
      <c r="G41" s="452" t="s">
        <v>20</v>
      </c>
      <c r="H41" s="440">
        <v>46093</v>
      </c>
      <c r="I41" s="440">
        <v>46093</v>
      </c>
      <c r="J41" s="452" t="s">
        <v>20</v>
      </c>
      <c r="K41" s="440">
        <v>46093</v>
      </c>
      <c r="L41" s="440">
        <v>46093</v>
      </c>
      <c r="M41" s="452" t="s">
        <v>20</v>
      </c>
      <c r="N41" s="452" t="s">
        <v>20</v>
      </c>
      <c r="O41" s="452" t="s">
        <v>20</v>
      </c>
      <c r="P41" s="443" t="s">
        <v>736</v>
      </c>
      <c r="Q41" s="428"/>
      <c r="R41" s="428"/>
      <c r="S41" s="447"/>
      <c r="T41" s="452" t="s">
        <v>20</v>
      </c>
      <c r="U41" s="440">
        <f t="shared" si="1"/>
        <v>46158</v>
      </c>
      <c r="V41" s="557">
        <v>46160</v>
      </c>
      <c r="W41" s="452" t="s">
        <v>20</v>
      </c>
      <c r="X41" s="557">
        <v>46161</v>
      </c>
      <c r="Y41" s="557">
        <v>46161</v>
      </c>
      <c r="Z41" s="428"/>
    </row>
    <row r="42" spans="1:26" ht="14.25" customHeight="1">
      <c r="A42" s="428">
        <f t="shared" si="0"/>
        <v>36</v>
      </c>
      <c r="B42" s="428" t="s">
        <v>167</v>
      </c>
      <c r="C42" s="428" t="s">
        <v>331</v>
      </c>
      <c r="D42" s="429">
        <v>58.7</v>
      </c>
      <c r="E42" s="452" t="s">
        <v>20</v>
      </c>
      <c r="F42" s="452" t="s">
        <v>20</v>
      </c>
      <c r="G42" s="452" t="s">
        <v>20</v>
      </c>
      <c r="H42" s="440">
        <v>46093</v>
      </c>
      <c r="I42" s="440">
        <v>46093</v>
      </c>
      <c r="J42" s="452" t="s">
        <v>20</v>
      </c>
      <c r="K42" s="440">
        <v>46095</v>
      </c>
      <c r="L42" s="440">
        <v>46095</v>
      </c>
      <c r="M42" s="452" t="s">
        <v>20</v>
      </c>
      <c r="N42" s="452" t="s">
        <v>20</v>
      </c>
      <c r="O42" s="452" t="s">
        <v>20</v>
      </c>
      <c r="P42" s="443" t="s">
        <v>736</v>
      </c>
      <c r="Q42" s="428"/>
      <c r="R42" s="428"/>
      <c r="S42" s="447"/>
      <c r="T42" s="452" t="s">
        <v>20</v>
      </c>
      <c r="U42" s="440">
        <f t="shared" si="1"/>
        <v>46158</v>
      </c>
      <c r="V42" s="557">
        <v>46160</v>
      </c>
      <c r="W42" s="452" t="s">
        <v>20</v>
      </c>
      <c r="X42" s="557">
        <v>46161</v>
      </c>
      <c r="Y42" s="557">
        <v>46161</v>
      </c>
      <c r="Z42" s="428"/>
    </row>
    <row r="43" spans="1:26" ht="14.25" customHeight="1">
      <c r="A43" s="428">
        <f t="shared" si="0"/>
        <v>37</v>
      </c>
      <c r="B43" s="428" t="s">
        <v>331</v>
      </c>
      <c r="C43" s="428" t="s">
        <v>332</v>
      </c>
      <c r="D43" s="429">
        <v>70.099999999999994</v>
      </c>
      <c r="E43" s="452" t="s">
        <v>20</v>
      </c>
      <c r="F43" s="452" t="s">
        <v>20</v>
      </c>
      <c r="G43" s="452" t="s">
        <v>20</v>
      </c>
      <c r="H43" s="440">
        <v>46096</v>
      </c>
      <c r="I43" s="440">
        <v>46096</v>
      </c>
      <c r="J43" s="452" t="s">
        <v>20</v>
      </c>
      <c r="K43" s="440">
        <v>46096</v>
      </c>
      <c r="L43" s="440">
        <v>46096</v>
      </c>
      <c r="M43" s="452" t="s">
        <v>20</v>
      </c>
      <c r="N43" s="452" t="s">
        <v>20</v>
      </c>
      <c r="O43" s="452" t="s">
        <v>20</v>
      </c>
      <c r="P43" s="443" t="s">
        <v>736</v>
      </c>
      <c r="Q43" s="428"/>
      <c r="R43" s="428"/>
      <c r="S43" s="447"/>
      <c r="T43" s="452" t="s">
        <v>20</v>
      </c>
      <c r="U43" s="440">
        <f t="shared" si="1"/>
        <v>46158</v>
      </c>
      <c r="V43" s="557">
        <v>46160</v>
      </c>
      <c r="W43" s="452" t="s">
        <v>20</v>
      </c>
      <c r="X43" s="557">
        <v>46161</v>
      </c>
      <c r="Y43" s="557">
        <v>46161</v>
      </c>
      <c r="Z43" s="428"/>
    </row>
    <row r="44" spans="1:26" ht="14.25" customHeight="1">
      <c r="A44" s="428">
        <f t="shared" si="0"/>
        <v>38</v>
      </c>
      <c r="B44" s="428" t="s">
        <v>332</v>
      </c>
      <c r="C44" s="428" t="s">
        <v>334</v>
      </c>
      <c r="D44" s="429">
        <v>220.7</v>
      </c>
      <c r="E44" s="452" t="s">
        <v>20</v>
      </c>
      <c r="F44" s="452" t="s">
        <v>20</v>
      </c>
      <c r="G44" s="452" t="s">
        <v>20</v>
      </c>
      <c r="H44" s="440">
        <v>46156</v>
      </c>
      <c r="I44" s="440">
        <v>46156</v>
      </c>
      <c r="J44" s="452" t="s">
        <v>20</v>
      </c>
      <c r="K44" s="440">
        <f>I44+1</f>
        <v>46157</v>
      </c>
      <c r="L44" s="440">
        <f>K44</f>
        <v>46157</v>
      </c>
      <c r="M44" s="452" t="s">
        <v>20</v>
      </c>
      <c r="N44" s="452" t="s">
        <v>20</v>
      </c>
      <c r="O44" s="448"/>
      <c r="P44" s="335" t="s">
        <v>758</v>
      </c>
      <c r="Q44" s="335"/>
      <c r="R44" s="335"/>
      <c r="S44" s="441"/>
      <c r="T44" s="452" t="s">
        <v>20</v>
      </c>
      <c r="U44" s="440">
        <f t="shared" si="1"/>
        <v>46158</v>
      </c>
      <c r="V44" s="557">
        <v>46160</v>
      </c>
      <c r="W44" s="452" t="s">
        <v>20</v>
      </c>
      <c r="X44" s="557">
        <v>46161</v>
      </c>
      <c r="Y44" s="557">
        <v>46161</v>
      </c>
      <c r="Z44" s="428"/>
    </row>
    <row r="45" spans="1:26" ht="14.25" customHeight="1">
      <c r="A45" s="428">
        <f t="shared" si="0"/>
        <v>39</v>
      </c>
      <c r="B45" s="428" t="s">
        <v>334</v>
      </c>
      <c r="C45" s="428" t="s">
        <v>181</v>
      </c>
      <c r="D45" s="429">
        <v>263</v>
      </c>
      <c r="E45" s="452" t="s">
        <v>20</v>
      </c>
      <c r="F45" s="452" t="s">
        <v>20</v>
      </c>
      <c r="G45" s="452" t="s">
        <v>20</v>
      </c>
      <c r="H45" s="398">
        <v>46088</v>
      </c>
      <c r="I45" s="398">
        <v>46090</v>
      </c>
      <c r="J45" s="452" t="s">
        <v>20</v>
      </c>
      <c r="K45" s="398">
        <v>46089</v>
      </c>
      <c r="L45" s="398">
        <v>46090</v>
      </c>
      <c r="M45" s="452" t="s">
        <v>20</v>
      </c>
      <c r="N45" s="452" t="s">
        <v>20</v>
      </c>
      <c r="O45" s="452" t="s">
        <v>20</v>
      </c>
      <c r="P45" s="443" t="s">
        <v>736</v>
      </c>
      <c r="Q45" s="335"/>
      <c r="R45" s="428"/>
      <c r="S45" s="447"/>
      <c r="T45" s="452" t="s">
        <v>20</v>
      </c>
      <c r="U45" s="440">
        <f t="shared" si="1"/>
        <v>46158</v>
      </c>
      <c r="V45" s="557">
        <v>46160</v>
      </c>
      <c r="W45" s="452" t="s">
        <v>20</v>
      </c>
      <c r="X45" s="557">
        <v>46161</v>
      </c>
      <c r="Y45" s="557">
        <v>46161</v>
      </c>
      <c r="Z45" s="428"/>
    </row>
    <row r="46" spans="1:26" ht="14.25" customHeight="1">
      <c r="A46" s="428">
        <f t="shared" si="0"/>
        <v>40</v>
      </c>
      <c r="B46" s="428" t="s">
        <v>181</v>
      </c>
      <c r="C46" s="428" t="s">
        <v>182</v>
      </c>
      <c r="D46" s="429">
        <v>251.6</v>
      </c>
      <c r="E46" s="452" t="s">
        <v>20</v>
      </c>
      <c r="F46" s="452" t="s">
        <v>20</v>
      </c>
      <c r="G46" s="452" t="s">
        <v>20</v>
      </c>
      <c r="H46" s="398">
        <v>46088</v>
      </c>
      <c r="I46" s="398">
        <v>46090</v>
      </c>
      <c r="J46" s="452" t="s">
        <v>20</v>
      </c>
      <c r="K46" s="398">
        <v>46089</v>
      </c>
      <c r="L46" s="398">
        <v>46090</v>
      </c>
      <c r="M46" s="452" t="s">
        <v>20</v>
      </c>
      <c r="N46" s="452" t="s">
        <v>20</v>
      </c>
      <c r="O46" s="452" t="s">
        <v>20</v>
      </c>
      <c r="P46" s="443" t="s">
        <v>736</v>
      </c>
      <c r="Q46" s="335"/>
      <c r="R46" s="428"/>
      <c r="S46" s="447"/>
      <c r="T46" s="452" t="s">
        <v>20</v>
      </c>
      <c r="U46" s="440">
        <f t="shared" si="1"/>
        <v>46158</v>
      </c>
      <c r="V46" s="557">
        <v>46160</v>
      </c>
      <c r="W46" s="452" t="s">
        <v>20</v>
      </c>
      <c r="X46" s="557">
        <v>46161</v>
      </c>
      <c r="Y46" s="557">
        <v>46161</v>
      </c>
      <c r="Z46" s="428"/>
    </row>
    <row r="47" spans="1:26" ht="14.25" customHeight="1">
      <c r="A47" s="428">
        <f t="shared" si="0"/>
        <v>41</v>
      </c>
      <c r="B47" s="443" t="s">
        <v>182</v>
      </c>
      <c r="C47" s="443" t="s">
        <v>183</v>
      </c>
      <c r="D47" s="443">
        <v>271.8</v>
      </c>
      <c r="E47" s="452" t="s">
        <v>20</v>
      </c>
      <c r="F47" s="452" t="s">
        <v>20</v>
      </c>
      <c r="G47" s="452" t="s">
        <v>20</v>
      </c>
      <c r="H47" s="398">
        <v>46088</v>
      </c>
      <c r="I47" s="398">
        <v>46090</v>
      </c>
      <c r="J47" s="452" t="s">
        <v>20</v>
      </c>
      <c r="K47" s="398">
        <v>46089</v>
      </c>
      <c r="L47" s="398">
        <v>46090</v>
      </c>
      <c r="M47" s="452" t="s">
        <v>20</v>
      </c>
      <c r="N47" s="452" t="s">
        <v>20</v>
      </c>
      <c r="O47" s="452" t="s">
        <v>20</v>
      </c>
      <c r="P47" s="443" t="s">
        <v>736</v>
      </c>
      <c r="Q47" s="443"/>
      <c r="R47" s="443"/>
      <c r="S47" s="447"/>
      <c r="T47" s="452" t="s">
        <v>20</v>
      </c>
      <c r="U47" s="440">
        <f t="shared" si="1"/>
        <v>46158</v>
      </c>
      <c r="V47" s="557">
        <v>46160</v>
      </c>
      <c r="W47" s="452" t="s">
        <v>20</v>
      </c>
      <c r="X47" s="557">
        <v>46161</v>
      </c>
      <c r="Y47" s="557">
        <v>46161</v>
      </c>
      <c r="Z47" s="443"/>
    </row>
    <row r="48" spans="1:26" ht="14.25" customHeight="1">
      <c r="A48" s="428">
        <f t="shared" si="0"/>
        <v>42</v>
      </c>
      <c r="B48" s="443" t="s">
        <v>183</v>
      </c>
      <c r="C48" s="443" t="s">
        <v>336</v>
      </c>
      <c r="D48" s="443">
        <v>261</v>
      </c>
      <c r="E48" s="452" t="s">
        <v>20</v>
      </c>
      <c r="F48" s="452" t="s">
        <v>20</v>
      </c>
      <c r="G48" s="452" t="s">
        <v>20</v>
      </c>
      <c r="H48" s="398">
        <v>46088</v>
      </c>
      <c r="I48" s="398">
        <v>46090</v>
      </c>
      <c r="J48" s="452" t="s">
        <v>20</v>
      </c>
      <c r="K48" s="398">
        <v>46089</v>
      </c>
      <c r="L48" s="398">
        <v>46090</v>
      </c>
      <c r="M48" s="452" t="s">
        <v>20</v>
      </c>
      <c r="N48" s="452" t="s">
        <v>20</v>
      </c>
      <c r="O48" s="452" t="s">
        <v>20</v>
      </c>
      <c r="P48" s="443" t="s">
        <v>736</v>
      </c>
      <c r="Q48" s="443"/>
      <c r="R48" s="443"/>
      <c r="S48" s="447"/>
      <c r="T48" s="452" t="s">
        <v>20</v>
      </c>
      <c r="U48" s="440">
        <f t="shared" si="1"/>
        <v>46158</v>
      </c>
      <c r="V48" s="557">
        <v>46160</v>
      </c>
      <c r="W48" s="452" t="s">
        <v>20</v>
      </c>
      <c r="X48" s="557">
        <v>46161</v>
      </c>
      <c r="Y48" s="557">
        <v>46161</v>
      </c>
      <c r="Z48" s="443"/>
    </row>
    <row r="49" spans="1:26" ht="14.25" customHeight="1">
      <c r="A49" s="428">
        <f t="shared" si="0"/>
        <v>43</v>
      </c>
      <c r="B49" s="443" t="s">
        <v>336</v>
      </c>
      <c r="C49" s="443" t="s">
        <v>192</v>
      </c>
      <c r="D49" s="443">
        <v>37.4</v>
      </c>
      <c r="E49" s="452" t="s">
        <v>20</v>
      </c>
      <c r="F49" s="452" t="s">
        <v>20</v>
      </c>
      <c r="G49" s="452" t="s">
        <v>20</v>
      </c>
      <c r="H49" s="398">
        <v>46086</v>
      </c>
      <c r="I49" s="398">
        <v>46087</v>
      </c>
      <c r="J49" s="452" t="s">
        <v>20</v>
      </c>
      <c r="K49" s="398">
        <v>46086</v>
      </c>
      <c r="L49" s="398">
        <v>46087</v>
      </c>
      <c r="M49" s="443"/>
      <c r="N49" s="443"/>
      <c r="O49" s="443"/>
      <c r="P49" s="442" t="s">
        <v>734</v>
      </c>
      <c r="Q49" s="443"/>
      <c r="R49" s="443"/>
      <c r="S49" s="447"/>
      <c r="T49" s="452" t="s">
        <v>20</v>
      </c>
      <c r="U49" s="440">
        <f t="shared" si="1"/>
        <v>46158</v>
      </c>
      <c r="V49" s="557">
        <v>46160</v>
      </c>
      <c r="W49" s="452" t="s">
        <v>20</v>
      </c>
      <c r="X49" s="557">
        <v>46161</v>
      </c>
      <c r="Y49" s="557">
        <v>46161</v>
      </c>
      <c r="Z49" s="443"/>
    </row>
    <row r="50" spans="1:26" ht="14.25" customHeight="1">
      <c r="A50" s="428">
        <f t="shared" si="0"/>
        <v>44</v>
      </c>
      <c r="B50" s="443" t="s">
        <v>192</v>
      </c>
      <c r="C50" s="443" t="s">
        <v>193</v>
      </c>
      <c r="D50" s="443">
        <v>71</v>
      </c>
      <c r="E50" s="452" t="s">
        <v>20</v>
      </c>
      <c r="F50" s="452" t="s">
        <v>20</v>
      </c>
      <c r="G50" s="452" t="s">
        <v>20</v>
      </c>
      <c r="H50" s="398">
        <v>46084</v>
      </c>
      <c r="I50" s="398">
        <v>46084</v>
      </c>
      <c r="J50" s="452" t="s">
        <v>20</v>
      </c>
      <c r="K50" s="398">
        <v>46084</v>
      </c>
      <c r="L50" s="398">
        <v>46084</v>
      </c>
      <c r="M50" s="443"/>
      <c r="N50" s="443"/>
      <c r="O50" s="443"/>
      <c r="P50" s="442" t="s">
        <v>734</v>
      </c>
      <c r="Q50" s="443"/>
      <c r="R50" s="443"/>
      <c r="S50" s="447"/>
      <c r="T50" s="452" t="s">
        <v>20</v>
      </c>
      <c r="U50" s="440">
        <f t="shared" si="1"/>
        <v>46158</v>
      </c>
      <c r="V50" s="557">
        <v>46160</v>
      </c>
      <c r="W50" s="452" t="s">
        <v>20</v>
      </c>
      <c r="X50" s="557">
        <v>46161</v>
      </c>
      <c r="Y50" s="557">
        <v>46161</v>
      </c>
      <c r="Z50" s="443"/>
    </row>
    <row r="51" spans="1:26" ht="14.25" customHeight="1">
      <c r="A51" s="428">
        <f t="shared" si="0"/>
        <v>45</v>
      </c>
      <c r="B51" s="443" t="s">
        <v>193</v>
      </c>
      <c r="C51" s="443" t="s">
        <v>338</v>
      </c>
      <c r="D51" s="443">
        <v>37.5</v>
      </c>
      <c r="E51" s="452" t="s">
        <v>20</v>
      </c>
      <c r="F51" s="452" t="s">
        <v>20</v>
      </c>
      <c r="G51" s="452" t="s">
        <v>20</v>
      </c>
      <c r="H51" s="398">
        <v>46076</v>
      </c>
      <c r="I51" s="398">
        <v>46076</v>
      </c>
      <c r="J51" s="452" t="s">
        <v>20</v>
      </c>
      <c r="K51" s="398">
        <v>46076</v>
      </c>
      <c r="L51" s="398">
        <v>46076</v>
      </c>
      <c r="M51" s="443"/>
      <c r="N51" s="442"/>
      <c r="O51" s="428"/>
      <c r="P51" s="442" t="s">
        <v>734</v>
      </c>
      <c r="Q51" s="443"/>
      <c r="R51" s="443"/>
      <c r="S51" s="447"/>
      <c r="T51" s="452" t="s">
        <v>20</v>
      </c>
      <c r="U51" s="440">
        <f t="shared" si="1"/>
        <v>46158</v>
      </c>
      <c r="V51" s="557">
        <v>46160</v>
      </c>
      <c r="W51" s="452" t="s">
        <v>20</v>
      </c>
      <c r="X51" s="557">
        <v>46161</v>
      </c>
      <c r="Y51" s="557">
        <v>46161</v>
      </c>
      <c r="Z51" s="443"/>
    </row>
    <row r="52" spans="1:26" ht="14.25" customHeight="1">
      <c r="A52" s="428">
        <f t="shared" si="0"/>
        <v>46</v>
      </c>
      <c r="B52" s="443" t="s">
        <v>338</v>
      </c>
      <c r="C52" s="443" t="s">
        <v>340</v>
      </c>
      <c r="D52" s="443">
        <v>165.2</v>
      </c>
      <c r="E52" s="452" t="s">
        <v>20</v>
      </c>
      <c r="F52" s="452" t="s">
        <v>20</v>
      </c>
      <c r="G52" s="452" t="s">
        <v>20</v>
      </c>
      <c r="H52" s="398">
        <v>46083</v>
      </c>
      <c r="I52" s="398">
        <v>46084</v>
      </c>
      <c r="J52" s="452" t="s">
        <v>20</v>
      </c>
      <c r="K52" s="398">
        <v>46083</v>
      </c>
      <c r="L52" s="398">
        <v>46084</v>
      </c>
      <c r="M52" s="443"/>
      <c r="N52" s="443"/>
      <c r="O52" s="443"/>
      <c r="P52" s="442" t="s">
        <v>734</v>
      </c>
      <c r="Q52" s="443"/>
      <c r="R52" s="443"/>
      <c r="S52" s="447"/>
      <c r="T52" s="452" t="s">
        <v>20</v>
      </c>
      <c r="U52" s="440">
        <f t="shared" si="1"/>
        <v>46158</v>
      </c>
      <c r="V52" s="557">
        <v>46160</v>
      </c>
      <c r="W52" s="452" t="s">
        <v>20</v>
      </c>
      <c r="X52" s="557">
        <v>46161</v>
      </c>
      <c r="Y52" s="557">
        <v>46161</v>
      </c>
      <c r="Z52" s="443"/>
    </row>
    <row r="53" spans="1:26" ht="14.25" customHeight="1">
      <c r="A53" s="428">
        <f t="shared" si="0"/>
        <v>47</v>
      </c>
      <c r="B53" s="443" t="s">
        <v>340</v>
      </c>
      <c r="C53" s="448" t="s">
        <v>625</v>
      </c>
      <c r="D53" s="443">
        <v>40</v>
      </c>
      <c r="E53" s="452" t="s">
        <v>20</v>
      </c>
      <c r="F53" s="452" t="s">
        <v>20</v>
      </c>
      <c r="G53" s="452" t="s">
        <v>20</v>
      </c>
      <c r="H53" s="398">
        <v>46073</v>
      </c>
      <c r="I53" s="398">
        <v>46074</v>
      </c>
      <c r="J53" s="452" t="s">
        <v>20</v>
      </c>
      <c r="K53" s="398">
        <v>46073</v>
      </c>
      <c r="L53" s="398">
        <v>46074</v>
      </c>
      <c r="M53" s="443"/>
      <c r="N53" s="443"/>
      <c r="O53" s="443"/>
      <c r="P53" s="442" t="s">
        <v>734</v>
      </c>
      <c r="Q53" s="443"/>
      <c r="R53" s="443"/>
      <c r="S53" s="447"/>
      <c r="T53" s="452" t="s">
        <v>20</v>
      </c>
      <c r="U53" s="440">
        <f t="shared" si="1"/>
        <v>46158</v>
      </c>
      <c r="V53" s="557">
        <v>46160</v>
      </c>
      <c r="W53" s="452" t="s">
        <v>20</v>
      </c>
      <c r="X53" s="557">
        <v>46161</v>
      </c>
      <c r="Y53" s="557">
        <v>46161</v>
      </c>
      <c r="Z53" s="443"/>
    </row>
    <row r="54" spans="1:26" ht="14.25" customHeight="1">
      <c r="A54" s="369"/>
      <c r="B54" s="369"/>
      <c r="C54" s="369"/>
      <c r="D54" s="369"/>
      <c r="E54" s="369"/>
      <c r="G54" s="451"/>
      <c r="H54" s="444"/>
      <c r="I54" s="369"/>
      <c r="J54" s="369"/>
      <c r="K54" s="369"/>
      <c r="L54" s="369"/>
      <c r="M54" s="369"/>
      <c r="N54" s="369"/>
      <c r="O54" s="369"/>
      <c r="P54" s="369"/>
      <c r="Q54" s="369"/>
      <c r="R54" s="369"/>
      <c r="S54" s="449"/>
      <c r="T54" s="369"/>
      <c r="U54" s="369"/>
      <c r="V54" s="369"/>
      <c r="W54" s="369"/>
      <c r="X54" s="369"/>
      <c r="Y54" s="369"/>
      <c r="Z54" s="369"/>
    </row>
    <row r="55" spans="1:26" ht="14.25" customHeight="1">
      <c r="G55" s="451"/>
      <c r="H55" s="444"/>
      <c r="S55" s="450"/>
    </row>
    <row r="56" spans="1:26" ht="14.25" customHeight="1">
      <c r="G56" s="451"/>
      <c r="H56" s="444"/>
      <c r="S56" s="450"/>
    </row>
    <row r="57" spans="1:26" ht="14.25" customHeight="1">
      <c r="G57" s="451"/>
      <c r="H57" s="444"/>
      <c r="S57" s="450"/>
    </row>
    <row r="58" spans="1:26" ht="14.25" customHeight="1">
      <c r="G58" s="451"/>
      <c r="H58" s="444"/>
    </row>
    <row r="59" spans="1:26" ht="14.25" customHeight="1">
      <c r="G59" s="451"/>
      <c r="H59" s="444"/>
    </row>
    <row r="60" spans="1:26" ht="14.25" customHeight="1">
      <c r="G60" s="451"/>
      <c r="H60" s="444"/>
    </row>
    <row r="61" spans="1:26" ht="14.25" customHeight="1">
      <c r="G61" s="451"/>
      <c r="H61" s="444"/>
    </row>
    <row r="62" spans="1:26" ht="14.25" customHeight="1">
      <c r="G62" s="451"/>
      <c r="H62" s="444"/>
    </row>
    <row r="63" spans="1:26" ht="14.25" customHeight="1">
      <c r="G63" s="451"/>
      <c r="H63" s="444"/>
    </row>
  </sheetData>
  <autoFilter ref="A5:Z53" xr:uid="{00000000-0009-0000-0000-000008000000}"/>
  <mergeCells count="10">
    <mergeCell ref="B4:C4"/>
    <mergeCell ref="G4:I4"/>
    <mergeCell ref="J4:L4"/>
    <mergeCell ref="T4:V4"/>
    <mergeCell ref="W4:Y4"/>
    <mergeCell ref="A1:Z1"/>
    <mergeCell ref="A2:D2"/>
    <mergeCell ref="F2:R2"/>
    <mergeCell ref="T2:Z2"/>
    <mergeCell ref="A3:C3"/>
  </mergeCells>
  <conditionalFormatting sqref="E6:G18">
    <cfRule type="containsText" dxfId="1434" priority="4" operator="containsText" text="C">
      <formula>NOT(ISERROR(SEARCH(("C"),(E6))))</formula>
    </cfRule>
  </conditionalFormatting>
  <conditionalFormatting sqref="F13:F18">
    <cfRule type="containsText" dxfId="1433" priority="21" operator="containsText" text="WIP">
      <formula>NOT(ISERROR(SEARCH(("WIP"),(F13))))</formula>
    </cfRule>
  </conditionalFormatting>
  <conditionalFormatting sqref="G7:G18">
    <cfRule type="containsText" dxfId="1432" priority="32" operator="containsText" text="WIP">
      <formula>NOT(ISERROR(SEARCH(("WIP"),(G7))))</formula>
    </cfRule>
  </conditionalFormatting>
  <conditionalFormatting sqref="J6:J10">
    <cfRule type="containsText" dxfId="1431" priority="5" operator="containsText" text="C">
      <formula>NOT(ISERROR(SEARCH(("C"),(J6))))</formula>
    </cfRule>
  </conditionalFormatting>
  <conditionalFormatting sqref="J7:J19">
    <cfRule type="containsText" dxfId="1430" priority="56" operator="containsText" text="WIP">
      <formula>NOT(ISERROR(SEARCH(("WIP"),(J7))))</formula>
    </cfRule>
    <cfRule type="containsText" dxfId="1429" priority="57" operator="containsText" text="C">
      <formula>NOT(ISERROR(SEARCH(("C"),(J7))))</formula>
    </cfRule>
  </conditionalFormatting>
  <conditionalFormatting sqref="J7:K8">
    <cfRule type="containsText" dxfId="1428" priority="74" operator="containsText" text="C">
      <formula>NOT(ISERROR(SEARCH(("C"),(J7))))</formula>
    </cfRule>
  </conditionalFormatting>
  <conditionalFormatting sqref="K7:K8">
    <cfRule type="containsText" dxfId="1427" priority="75" operator="containsText" text="WIP">
      <formula>NOT(ISERROR(SEARCH(("WIP"),(K7))))</formula>
    </cfRule>
  </conditionalFormatting>
  <conditionalFormatting sqref="M6:O6">
    <cfRule type="containsText" dxfId="1426" priority="6" operator="containsText" text="C">
      <formula>NOT(ISERROR(SEARCH(("C"),(M6))))</formula>
    </cfRule>
    <cfRule type="containsText" dxfId="1425" priority="7" operator="containsText" text="WIP">
      <formula>NOT(ISERROR(SEARCH(("WIP"),(M6))))</formula>
    </cfRule>
  </conditionalFormatting>
  <conditionalFormatting sqref="M6:O10">
    <cfRule type="containsText" dxfId="1424" priority="8" operator="containsText" text="C">
      <formula>NOT(ISERROR(SEARCH(("C"),(M6))))</formula>
    </cfRule>
  </conditionalFormatting>
  <conditionalFormatting sqref="M7:O10">
    <cfRule type="containsText" dxfId="1423" priority="81" operator="containsText" text="WIP">
      <formula>NOT(ISERROR(SEARCH(("WIP"),(M7))))</formula>
    </cfRule>
    <cfRule type="containsText" dxfId="1422" priority="82" operator="containsText" text="C">
      <formula>NOT(ISERROR(SEARCH(("C"),(M7))))</formula>
    </cfRule>
  </conditionalFormatting>
  <conditionalFormatting sqref="M17:O17">
    <cfRule type="containsText" dxfId="1421" priority="83" operator="containsText" text="WIP">
      <formula>NOT(ISERROR(SEARCH(("WIP"),(M17))))</formula>
    </cfRule>
  </conditionalFormatting>
  <conditionalFormatting sqref="M17:O19">
    <cfRule type="containsText" dxfId="1420" priority="84" operator="containsText" text="C">
      <formula>NOT(ISERROR(SEARCH(("C"),(M17))))</formula>
    </cfRule>
  </conditionalFormatting>
  <conditionalFormatting sqref="M18:O19">
    <cfRule type="containsText" dxfId="1419" priority="86" operator="containsText" text="WIP">
      <formula>NOT(ISERROR(SEARCH(("WIP"),(M18))))</formula>
    </cfRule>
  </conditionalFormatting>
  <conditionalFormatting sqref="O13 M13:N14 O17 O23 M36:O36 M37:N37 M39:O39">
    <cfRule type="containsText" dxfId="1418" priority="76" operator="containsText" text="C">
      <formula>NOT(ISERROR(SEARCH(("C"),(M13))))</formula>
    </cfRule>
    <cfRule type="containsText" dxfId="1417" priority="77" operator="containsText" text="WIP">
      <formula>NOT(ISERROR(SEARCH(("WIP"),(M13))))</formula>
    </cfRule>
    <cfRule type="containsText" dxfId="1416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topLeftCell="G1" zoomScale="69" zoomScaleNormal="69" zoomScaleSheetLayoutView="65" workbookViewId="0">
      <pane ySplit="2" topLeftCell="A126" activePane="bottomLeft" state="frozen"/>
      <selection sqref="A1:H1"/>
      <selection pane="bottomLeft" activeCell="AK151" sqref="AK151"/>
    </sheetView>
  </sheetViews>
  <sheetFormatPr defaultColWidth="8.7109375" defaultRowHeight="15"/>
  <cols>
    <col min="1" max="1" width="3.140625" style="274" customWidth="1"/>
    <col min="2" max="3" width="4" style="274" customWidth="1"/>
    <col min="4" max="4" width="5.42578125" style="275" customWidth="1"/>
    <col min="5" max="6" width="4" style="274" customWidth="1"/>
    <col min="7" max="7" width="4.140625" style="275" customWidth="1"/>
    <col min="8" max="9" width="4" style="274" customWidth="1"/>
    <col min="10" max="10" width="5.5703125" style="275" customWidth="1"/>
    <col min="11" max="12" width="4" style="274" customWidth="1"/>
    <col min="13" max="13" width="5.5703125" style="275" customWidth="1"/>
    <col min="14" max="15" width="4" style="274" customWidth="1"/>
    <col min="16" max="16" width="5" style="275" customWidth="1"/>
    <col min="17" max="18" width="4" style="274" customWidth="1"/>
    <col min="19" max="19" width="4.5703125" style="275" customWidth="1"/>
    <col min="20" max="21" width="4" style="274" customWidth="1"/>
    <col min="22" max="22" width="5.140625" style="275" customWidth="1"/>
    <col min="23" max="24" width="4" style="274" customWidth="1"/>
    <col min="25" max="25" width="5" style="275" customWidth="1"/>
    <col min="26" max="27" width="4" style="274" customWidth="1"/>
    <col min="28" max="28" width="5.28515625" style="275" customWidth="1"/>
    <col min="29" max="29" width="3.85546875" style="274" customWidth="1"/>
    <col min="30" max="30" width="3.7109375" style="274" customWidth="1"/>
    <col min="31" max="31" width="5.140625" style="275" customWidth="1"/>
    <col min="32" max="32" width="4" style="274" customWidth="1"/>
    <col min="33" max="33" width="3.7109375" style="274" customWidth="1"/>
    <col min="34" max="34" width="5.140625" style="275" customWidth="1"/>
    <col min="35" max="35" width="4" style="274" customWidth="1"/>
    <col min="36" max="36" width="3.85546875" style="274" customWidth="1"/>
    <col min="37" max="37" width="6.42578125" style="275" customWidth="1"/>
    <col min="38" max="38" width="4" style="274" customWidth="1"/>
    <col min="39" max="39" width="3.5703125" style="274" customWidth="1"/>
    <col min="40" max="40" width="5.42578125" style="275" customWidth="1"/>
    <col min="41" max="41" width="4" style="274" customWidth="1"/>
    <col min="42" max="42" width="3.42578125" style="274" customWidth="1"/>
    <col min="43" max="43" width="6.28515625" style="275" customWidth="1"/>
    <col min="44" max="44" width="3.5703125" style="275" customWidth="1"/>
    <col min="45" max="45" width="3.42578125" style="275" customWidth="1"/>
    <col min="46" max="46" width="5" style="275" customWidth="1"/>
    <col min="47" max="47" width="9.7109375" style="498" customWidth="1"/>
    <col min="48" max="48" width="2.5703125" style="274" customWidth="1"/>
    <col min="49" max="49" width="6.140625" style="274" customWidth="1"/>
    <col min="50" max="50" width="6" style="274" customWidth="1"/>
    <col min="51" max="52" width="5.7109375" style="274" customWidth="1"/>
    <col min="53" max="53" width="7.140625" style="274" customWidth="1"/>
    <col min="54" max="54" width="8.7109375" style="274" customWidth="1"/>
    <col min="55" max="55" width="8.7109375" style="491"/>
    <col min="56" max="16384" width="8.7109375" style="274"/>
  </cols>
  <sheetData>
    <row r="1" spans="1:55" ht="15.75" customHeight="1" thickBot="1">
      <c r="A1" s="737" t="str">
        <f>+[1]Summary!A2</f>
        <v>Name of the Line: 220KV DC AL59 line from Neemuch - Chanderiya + 132KV DC ACSS Line from Chanderiya to Hindustan Zinc</v>
      </c>
      <c r="B1" s="738"/>
      <c r="C1" s="738"/>
      <c r="D1" s="738"/>
      <c r="E1" s="738"/>
      <c r="F1" s="738"/>
      <c r="G1" s="738"/>
      <c r="H1" s="738"/>
      <c r="I1" s="738"/>
      <c r="J1" s="738"/>
      <c r="K1" s="738"/>
      <c r="L1" s="738"/>
      <c r="M1" s="738"/>
      <c r="N1" s="738"/>
      <c r="O1" s="738"/>
      <c r="P1" s="738"/>
      <c r="Q1" s="738"/>
      <c r="R1" s="738"/>
      <c r="S1" s="738"/>
      <c r="T1" s="738"/>
      <c r="U1" s="738"/>
      <c r="V1" s="738"/>
      <c r="W1" s="738"/>
      <c r="X1" s="738"/>
      <c r="Y1" s="738"/>
      <c r="Z1" s="738"/>
      <c r="AA1" s="738"/>
      <c r="AB1" s="738"/>
      <c r="AC1" s="738"/>
      <c r="AD1" s="738"/>
      <c r="AE1" s="738"/>
      <c r="AF1" s="738"/>
      <c r="AG1" s="738"/>
      <c r="AH1" s="738"/>
      <c r="AI1" s="738"/>
      <c r="AJ1" s="738"/>
      <c r="AK1" s="738"/>
      <c r="AL1" s="738"/>
      <c r="AM1" s="738"/>
      <c r="AN1" s="738"/>
      <c r="AO1" s="738"/>
      <c r="AP1" s="738"/>
      <c r="AQ1" s="738"/>
      <c r="AR1" s="738"/>
      <c r="AS1" s="738"/>
      <c r="AT1" s="738"/>
      <c r="AU1" s="739"/>
      <c r="AW1" s="740">
        <f>Summary!R5</f>
        <v>46230</v>
      </c>
      <c r="AX1" s="740"/>
      <c r="AY1" s="740"/>
      <c r="AZ1" s="740"/>
      <c r="BA1" s="740"/>
    </row>
    <row r="2" spans="1:55" ht="18.75">
      <c r="A2" s="287"/>
      <c r="T2" s="734" t="s">
        <v>663</v>
      </c>
      <c r="U2" s="734"/>
      <c r="V2" s="734"/>
      <c r="W2" s="734"/>
      <c r="X2" s="734"/>
      <c r="Y2" s="734"/>
      <c r="Z2" s="734"/>
      <c r="AA2" s="734"/>
      <c r="AB2" s="734"/>
      <c r="AC2" s="734"/>
      <c r="AD2" s="734"/>
      <c r="AK2" s="745" t="s">
        <v>26</v>
      </c>
      <c r="AL2" s="745"/>
      <c r="AM2" s="745"/>
      <c r="AN2" s="746">
        <f>AW1</f>
        <v>46230</v>
      </c>
      <c r="AO2" s="746"/>
      <c r="AP2" s="746"/>
      <c r="AW2" s="290" t="s">
        <v>620</v>
      </c>
      <c r="AX2" s="290" t="s">
        <v>621</v>
      </c>
      <c r="AY2" s="290" t="s">
        <v>622</v>
      </c>
      <c r="AZ2" s="305" t="s">
        <v>623</v>
      </c>
      <c r="BA2" s="743" t="s">
        <v>624</v>
      </c>
      <c r="BB2" s="744"/>
      <c r="BC2" s="491" t="s">
        <v>390</v>
      </c>
    </row>
    <row r="3" spans="1:55">
      <c r="A3" s="287"/>
      <c r="C3" s="275"/>
      <c r="F3" s="275"/>
      <c r="G3" s="274"/>
      <c r="AW3" s="296"/>
      <c r="AX3" s="296"/>
      <c r="AY3" s="296"/>
      <c r="AZ3" s="296"/>
      <c r="BA3" s="296" t="s">
        <v>681</v>
      </c>
      <c r="BB3" s="333" t="s">
        <v>682</v>
      </c>
    </row>
    <row r="4" spans="1:55">
      <c r="A4" s="287"/>
      <c r="B4" s="720"/>
      <c r="C4" s="720"/>
      <c r="E4" s="720"/>
      <c r="F4" s="720"/>
      <c r="H4" s="719"/>
      <c r="I4" s="719"/>
      <c r="K4" s="720"/>
      <c r="L4" s="720"/>
      <c r="N4" s="720"/>
      <c r="O4" s="720"/>
      <c r="Q4" s="719"/>
      <c r="R4" s="719"/>
      <c r="T4" s="719"/>
      <c r="U4" s="719"/>
      <c r="W4" s="682"/>
      <c r="X4" s="682"/>
      <c r="Z4" s="682"/>
      <c r="AA4" s="682"/>
      <c r="AC4" s="719"/>
      <c r="AD4" s="720"/>
      <c r="AF4" s="719"/>
      <c r="AG4" s="720"/>
      <c r="AI4" s="719"/>
      <c r="AJ4" s="720"/>
      <c r="AL4" s="719"/>
      <c r="AM4" s="720"/>
      <c r="AO4" s="719"/>
      <c r="AP4" s="720"/>
    </row>
    <row r="5" spans="1:55">
      <c r="A5" s="287"/>
      <c r="B5" s="291"/>
      <c r="C5" s="293"/>
      <c r="D5" s="282"/>
      <c r="E5" s="291"/>
      <c r="F5" s="293"/>
      <c r="G5" s="282"/>
      <c r="H5" s="291"/>
      <c r="I5" s="293"/>
      <c r="J5" s="292"/>
      <c r="K5" s="291"/>
      <c r="L5" s="293"/>
      <c r="M5" s="282"/>
      <c r="N5" s="291"/>
      <c r="O5" s="293"/>
      <c r="P5" s="306"/>
      <c r="Q5" s="291"/>
      <c r="R5" s="293"/>
      <c r="S5" s="306"/>
      <c r="T5" s="291"/>
      <c r="U5" s="293"/>
      <c r="V5" s="306"/>
      <c r="W5" s="291"/>
      <c r="X5" s="293"/>
      <c r="Y5" s="306"/>
      <c r="Z5" s="291"/>
      <c r="AA5" s="293"/>
      <c r="AB5" s="306"/>
      <c r="AC5" s="291"/>
      <c r="AD5" s="323"/>
      <c r="AE5" s="306"/>
      <c r="AF5" s="291"/>
      <c r="AG5" s="293"/>
      <c r="AH5" s="306"/>
      <c r="AI5" s="291"/>
      <c r="AJ5" s="293"/>
      <c r="AK5" s="306"/>
      <c r="AL5" s="291"/>
      <c r="AM5" s="293"/>
      <c r="AN5" s="306"/>
      <c r="AO5" s="291"/>
      <c r="AP5" s="293"/>
      <c r="AQ5" s="306"/>
      <c r="AR5" s="306"/>
      <c r="AS5" s="306"/>
      <c r="AT5" s="306"/>
      <c r="AU5" s="499"/>
    </row>
    <row r="6" spans="1:55">
      <c r="A6" s="287"/>
      <c r="B6" s="291"/>
      <c r="C6" s="291"/>
      <c r="D6" s="300"/>
      <c r="E6" s="291"/>
      <c r="F6" s="291"/>
      <c r="G6" s="300"/>
      <c r="H6" s="291"/>
      <c r="I6" s="291"/>
      <c r="J6" s="304"/>
      <c r="K6" s="291"/>
      <c r="L6" s="291"/>
      <c r="M6" s="300"/>
      <c r="N6" s="291"/>
      <c r="O6" s="291"/>
      <c r="P6" s="300"/>
      <c r="Q6" s="291"/>
      <c r="R6" s="291"/>
      <c r="S6" s="300"/>
      <c r="T6" s="291"/>
      <c r="U6" s="291"/>
      <c r="V6" s="300"/>
      <c r="W6" s="291"/>
      <c r="X6" s="291"/>
      <c r="Y6" s="300"/>
      <c r="Z6" s="291"/>
      <c r="AA6" s="291"/>
      <c r="AB6" s="300"/>
      <c r="AC6" s="291"/>
      <c r="AD6" s="291"/>
      <c r="AF6" s="291"/>
      <c r="AG6" s="291"/>
      <c r="AH6" s="300"/>
      <c r="AI6" s="291"/>
      <c r="AJ6" s="291"/>
      <c r="AK6" s="300"/>
      <c r="AL6" s="291"/>
      <c r="AM6" s="291"/>
      <c r="AN6" s="300"/>
      <c r="AO6" s="291"/>
      <c r="AP6" s="291"/>
      <c r="AQ6" s="300"/>
      <c r="AR6" s="300"/>
      <c r="AS6" s="300"/>
      <c r="AT6" s="300"/>
      <c r="AU6" s="300"/>
      <c r="AW6" s="281">
        <v>14</v>
      </c>
      <c r="AX6" s="281">
        <v>14</v>
      </c>
      <c r="AY6" s="281">
        <v>14</v>
      </c>
      <c r="AZ6" s="281">
        <v>14</v>
      </c>
      <c r="BA6" s="335">
        <f>((SUM(D9:AS9)/1000))</f>
        <v>4.2406999999999995</v>
      </c>
      <c r="BB6" s="335">
        <f>BA6</f>
        <v>4.2406999999999995</v>
      </c>
      <c r="BC6" s="492"/>
    </row>
    <row r="7" spans="1:55">
      <c r="A7" s="287"/>
      <c r="B7" s="728" t="s">
        <v>33</v>
      </c>
      <c r="C7" s="728"/>
      <c r="D7" s="300"/>
      <c r="E7" s="728" t="s">
        <v>36</v>
      </c>
      <c r="F7" s="728"/>
      <c r="G7" s="300"/>
      <c r="H7" s="728" t="s">
        <v>38</v>
      </c>
      <c r="I7" s="728"/>
      <c r="J7" s="300"/>
      <c r="K7" s="736" t="s">
        <v>41</v>
      </c>
      <c r="L7" s="728"/>
      <c r="M7" s="300"/>
      <c r="N7" s="736" t="s">
        <v>43</v>
      </c>
      <c r="O7" s="728"/>
      <c r="P7" s="300"/>
      <c r="Q7" s="741" t="s">
        <v>45</v>
      </c>
      <c r="R7" s="742"/>
      <c r="S7" s="300"/>
      <c r="T7" s="733" t="s">
        <v>47</v>
      </c>
      <c r="U7" s="728"/>
      <c r="V7" s="300"/>
      <c r="W7" s="735" t="s">
        <v>48</v>
      </c>
      <c r="X7" s="726"/>
      <c r="Y7" s="300"/>
      <c r="Z7" s="735" t="s">
        <v>50</v>
      </c>
      <c r="AA7" s="726"/>
      <c r="AB7" s="300"/>
      <c r="AC7" s="727" t="s">
        <v>53</v>
      </c>
      <c r="AD7" s="728"/>
      <c r="AF7" s="727" t="s">
        <v>55</v>
      </c>
      <c r="AG7" s="728"/>
      <c r="AH7" s="300"/>
      <c r="AI7" s="728" t="s">
        <v>58</v>
      </c>
      <c r="AJ7" s="728"/>
      <c r="AK7" s="300"/>
      <c r="AL7" s="727" t="s">
        <v>59</v>
      </c>
      <c r="AM7" s="728"/>
      <c r="AN7" s="300"/>
      <c r="AO7" s="727" t="s">
        <v>61</v>
      </c>
      <c r="AP7" s="728"/>
      <c r="AQ7" s="300"/>
      <c r="AR7" s="300"/>
      <c r="AS7" s="300"/>
      <c r="AT7" s="300"/>
      <c r="AU7" s="300"/>
      <c r="BA7" s="334"/>
      <c r="BB7" s="334"/>
    </row>
    <row r="8" spans="1:55">
      <c r="A8" s="287"/>
      <c r="B8" s="678" t="s">
        <v>34</v>
      </c>
      <c r="C8" s="678"/>
      <c r="D8" s="351"/>
      <c r="E8" s="678" t="s">
        <v>37</v>
      </c>
      <c r="F8" s="678"/>
      <c r="G8" s="351"/>
      <c r="H8" s="678" t="s">
        <v>39</v>
      </c>
      <c r="I8" s="678"/>
      <c r="J8" s="351"/>
      <c r="K8" s="679" t="s">
        <v>42</v>
      </c>
      <c r="L8" s="678"/>
      <c r="M8" s="351"/>
      <c r="N8" s="679" t="s">
        <v>37</v>
      </c>
      <c r="O8" s="678"/>
      <c r="P8" s="351"/>
      <c r="Q8" s="680" t="s">
        <v>46</v>
      </c>
      <c r="R8" s="680"/>
      <c r="S8" s="351"/>
      <c r="T8" s="680" t="s">
        <v>37</v>
      </c>
      <c r="U8" s="680"/>
      <c r="V8" s="351"/>
      <c r="W8" s="678" t="s">
        <v>39</v>
      </c>
      <c r="X8" s="678"/>
      <c r="Y8" s="351"/>
      <c r="Z8" s="678" t="s">
        <v>51</v>
      </c>
      <c r="AA8" s="678"/>
      <c r="AB8" s="351"/>
      <c r="AC8" s="678" t="s">
        <v>54</v>
      </c>
      <c r="AD8" s="678"/>
      <c r="AE8" s="508"/>
      <c r="AF8" s="678" t="s">
        <v>56</v>
      </c>
      <c r="AG8" s="678"/>
      <c r="AH8" s="351"/>
      <c r="AI8" s="678" t="s">
        <v>39</v>
      </c>
      <c r="AJ8" s="678"/>
      <c r="AK8" s="351"/>
      <c r="AL8" s="678" t="s">
        <v>42</v>
      </c>
      <c r="AM8" s="678"/>
      <c r="AN8" s="351"/>
      <c r="AO8" s="678" t="s">
        <v>62</v>
      </c>
      <c r="AP8" s="678"/>
      <c r="BA8" s="334"/>
      <c r="BB8" s="334"/>
    </row>
    <row r="9" spans="1:55">
      <c r="B9" s="332"/>
      <c r="C9" s="332"/>
      <c r="D9" s="331">
        <v>196</v>
      </c>
      <c r="E9" s="332"/>
      <c r="F9" s="332"/>
      <c r="G9" s="331">
        <v>196.7</v>
      </c>
      <c r="H9" s="332"/>
      <c r="I9" s="332"/>
      <c r="J9" s="331">
        <v>334</v>
      </c>
      <c r="K9" s="332"/>
      <c r="L9" s="332"/>
      <c r="M9" s="331">
        <v>319</v>
      </c>
      <c r="N9" s="332"/>
      <c r="O9" s="332"/>
      <c r="P9" s="331">
        <v>384.3</v>
      </c>
      <c r="Q9" s="332"/>
      <c r="R9" s="332"/>
      <c r="S9" s="331">
        <v>329</v>
      </c>
      <c r="T9" s="332"/>
      <c r="U9" s="332"/>
      <c r="V9" s="331">
        <v>280</v>
      </c>
      <c r="W9" s="332"/>
      <c r="X9" s="332"/>
      <c r="Y9" s="331">
        <v>232.1</v>
      </c>
      <c r="Z9" s="332"/>
      <c r="AA9" s="332"/>
      <c r="AB9" s="331">
        <v>237.8</v>
      </c>
      <c r="AC9" s="332"/>
      <c r="AD9" s="332"/>
      <c r="AE9" s="331">
        <v>334</v>
      </c>
      <c r="AF9" s="332"/>
      <c r="AG9" s="332"/>
      <c r="AH9" s="331">
        <v>341.2</v>
      </c>
      <c r="AI9" s="332"/>
      <c r="AJ9" s="332"/>
      <c r="AK9" s="331">
        <v>306</v>
      </c>
      <c r="AL9" s="332"/>
      <c r="AM9" s="332"/>
      <c r="AN9" s="331">
        <v>393.9</v>
      </c>
      <c r="AO9" s="332"/>
      <c r="AP9" s="332"/>
      <c r="AQ9" s="331">
        <v>356.7</v>
      </c>
      <c r="AU9" s="498">
        <f>SUM(A9:AR9)</f>
        <v>4240.7</v>
      </c>
      <c r="BA9" s="332"/>
      <c r="BB9" s="332"/>
    </row>
    <row r="10" spans="1:55">
      <c r="A10" s="287"/>
      <c r="B10" s="298"/>
      <c r="C10" s="298"/>
      <c r="D10" s="299"/>
      <c r="E10" s="320" t="s">
        <v>535</v>
      </c>
      <c r="F10" s="320"/>
      <c r="G10" s="319"/>
      <c r="H10" s="320" t="s">
        <v>535</v>
      </c>
      <c r="I10" s="320"/>
      <c r="J10" s="319"/>
      <c r="K10" s="320" t="s">
        <v>535</v>
      </c>
      <c r="L10" s="320"/>
      <c r="M10" s="319"/>
      <c r="N10" s="320" t="s">
        <v>535</v>
      </c>
      <c r="O10" s="320"/>
      <c r="P10" s="319"/>
      <c r="Q10" s="320" t="s">
        <v>535</v>
      </c>
      <c r="R10" s="322"/>
      <c r="S10" s="319"/>
      <c r="T10" s="320" t="s">
        <v>535</v>
      </c>
      <c r="U10" s="322"/>
      <c r="V10" s="319"/>
      <c r="W10" s="320" t="s">
        <v>535</v>
      </c>
      <c r="X10" s="320"/>
      <c r="Y10" s="319"/>
      <c r="Z10" s="320" t="s">
        <v>535</v>
      </c>
      <c r="AA10" s="320"/>
      <c r="AB10" s="319"/>
      <c r="AC10" s="320" t="s">
        <v>535</v>
      </c>
      <c r="AD10" s="320"/>
      <c r="AE10" s="329"/>
      <c r="AF10" s="320" t="s">
        <v>535</v>
      </c>
      <c r="AG10" s="320"/>
      <c r="AH10" s="319"/>
      <c r="AI10" s="320" t="s">
        <v>535</v>
      </c>
      <c r="AJ10" s="320"/>
      <c r="AK10" s="319"/>
      <c r="AL10" s="320" t="s">
        <v>535</v>
      </c>
      <c r="AM10" s="320"/>
      <c r="AN10" s="319"/>
      <c r="AO10" s="320" t="s">
        <v>535</v>
      </c>
      <c r="AP10" s="320"/>
      <c r="AQ10" s="328"/>
      <c r="AR10" s="328"/>
      <c r="AS10" s="328"/>
      <c r="AT10" s="328"/>
      <c r="BA10" s="334"/>
      <c r="BB10" s="334"/>
    </row>
    <row r="11" spans="1:55">
      <c r="A11" s="287"/>
      <c r="K11" s="275"/>
      <c r="L11" s="275"/>
      <c r="Z11" s="275"/>
      <c r="AY11" s="274" t="s">
        <v>0</v>
      </c>
      <c r="BA11" s="334"/>
      <c r="BB11" s="334"/>
    </row>
    <row r="12" spans="1:55">
      <c r="A12" s="287"/>
      <c r="M12" s="299"/>
      <c r="Q12" s="275"/>
      <c r="BA12" s="334"/>
      <c r="BB12" s="334"/>
    </row>
    <row r="13" spans="1:55">
      <c r="A13" s="287"/>
      <c r="B13" s="682"/>
      <c r="C13" s="682"/>
      <c r="E13" s="719"/>
      <c r="F13" s="720"/>
      <c r="H13" s="719"/>
      <c r="I13" s="720"/>
      <c r="K13" s="720"/>
      <c r="L13" s="720"/>
      <c r="N13" s="719"/>
      <c r="O13" s="720"/>
      <c r="Q13" s="719"/>
      <c r="R13" s="720"/>
      <c r="T13" s="719"/>
      <c r="U13" s="720"/>
      <c r="W13" s="719"/>
      <c r="X13" s="720"/>
      <c r="Z13" s="719"/>
      <c r="AA13" s="720"/>
      <c r="AC13" s="720"/>
      <c r="AD13" s="720"/>
      <c r="AF13" s="719"/>
      <c r="AG13" s="720"/>
      <c r="AI13" s="720"/>
      <c r="AJ13" s="720"/>
      <c r="AL13" s="720"/>
      <c r="AM13" s="720"/>
      <c r="AO13" s="719"/>
      <c r="AP13" s="720"/>
      <c r="BA13" s="334"/>
      <c r="BB13" s="334"/>
    </row>
    <row r="14" spans="1:55">
      <c r="A14" s="287"/>
      <c r="B14" s="291"/>
      <c r="C14" s="293"/>
      <c r="D14" s="306"/>
      <c r="E14" s="291"/>
      <c r="F14" s="293"/>
      <c r="G14" s="306"/>
      <c r="H14" s="291"/>
      <c r="I14" s="293"/>
      <c r="J14" s="306"/>
      <c r="K14" s="291"/>
      <c r="L14" s="293"/>
      <c r="M14" s="306"/>
      <c r="N14" s="291"/>
      <c r="O14" s="293"/>
      <c r="P14" s="306"/>
      <c r="Q14" s="291"/>
      <c r="R14" s="293"/>
      <c r="S14" s="306"/>
      <c r="T14" s="291"/>
      <c r="U14" s="293"/>
      <c r="V14" s="306"/>
      <c r="W14" s="291"/>
      <c r="X14" s="293"/>
      <c r="Y14" s="306"/>
      <c r="Z14" s="291"/>
      <c r="AA14" s="293"/>
      <c r="AB14" s="306"/>
      <c r="AC14" s="291"/>
      <c r="AD14" s="293"/>
      <c r="AE14" s="306"/>
      <c r="AF14" s="291"/>
      <c r="AG14" s="323"/>
      <c r="AH14" s="306"/>
      <c r="AI14" s="291"/>
      <c r="AJ14" s="293"/>
      <c r="AK14" s="288"/>
      <c r="AL14" s="291"/>
      <c r="AM14" s="293"/>
      <c r="AN14" s="306"/>
      <c r="AO14" s="291"/>
      <c r="AP14" s="293"/>
      <c r="AQ14" s="306"/>
      <c r="AR14" s="306"/>
      <c r="AS14" s="306"/>
      <c r="AT14" s="306"/>
      <c r="AU14" s="499"/>
      <c r="BA14" s="334"/>
      <c r="BB14" s="334"/>
    </row>
    <row r="15" spans="1:55">
      <c r="A15" s="287"/>
      <c r="B15" s="291"/>
      <c r="C15" s="291"/>
      <c r="D15" s="300"/>
      <c r="E15" s="291"/>
      <c r="F15" s="291"/>
      <c r="G15" s="300"/>
      <c r="H15" s="291"/>
      <c r="I15" s="291"/>
      <c r="J15" s="299"/>
      <c r="K15" s="291"/>
      <c r="L15" s="291"/>
      <c r="M15" s="300"/>
      <c r="N15" s="291"/>
      <c r="O15" s="291"/>
      <c r="P15" s="300"/>
      <c r="Q15" s="291"/>
      <c r="R15" s="291"/>
      <c r="S15" s="300"/>
      <c r="T15" s="291"/>
      <c r="U15" s="291"/>
      <c r="V15" s="300"/>
      <c r="W15" s="291"/>
      <c r="X15" s="291"/>
      <c r="Y15" s="300"/>
      <c r="Z15" s="291"/>
      <c r="AA15" s="291"/>
      <c r="AB15" s="299"/>
      <c r="AC15" s="291"/>
      <c r="AD15" s="291"/>
      <c r="AE15" s="300"/>
      <c r="AF15" s="291"/>
      <c r="AG15" s="323"/>
      <c r="AH15" s="300"/>
      <c r="AI15" s="291"/>
      <c r="AJ15" s="291"/>
      <c r="AK15" s="300"/>
      <c r="AL15" s="291"/>
      <c r="AM15" s="291"/>
      <c r="AN15" s="300"/>
      <c r="AO15" s="291"/>
      <c r="AP15" s="291"/>
      <c r="AQ15" s="299"/>
      <c r="AR15" s="299"/>
      <c r="AS15" s="299"/>
      <c r="AT15" s="299"/>
      <c r="AU15" s="299"/>
      <c r="AW15" s="281">
        <v>14</v>
      </c>
      <c r="AX15" s="281">
        <v>14</v>
      </c>
      <c r="AY15" s="281">
        <v>14</v>
      </c>
      <c r="AZ15" s="281">
        <v>14</v>
      </c>
      <c r="BA15" s="335">
        <f>((SUM(D18:AQ18)/1000))</f>
        <v>4.664299999999999</v>
      </c>
      <c r="BB15" s="335">
        <f>BA15</f>
        <v>4.664299999999999</v>
      </c>
      <c r="BC15" s="492"/>
    </row>
    <row r="16" spans="1:55">
      <c r="A16" s="287"/>
      <c r="B16" s="726" t="s">
        <v>64</v>
      </c>
      <c r="C16" s="726"/>
      <c r="D16" s="300"/>
      <c r="E16" s="728" t="s">
        <v>67</v>
      </c>
      <c r="F16" s="728"/>
      <c r="G16" s="327"/>
      <c r="H16" s="736" t="s">
        <v>69</v>
      </c>
      <c r="I16" s="728"/>
      <c r="J16" s="299"/>
      <c r="K16" s="727" t="s">
        <v>71</v>
      </c>
      <c r="L16" s="728"/>
      <c r="M16" s="300"/>
      <c r="N16" s="727" t="s">
        <v>72</v>
      </c>
      <c r="O16" s="728"/>
      <c r="P16" s="300"/>
      <c r="Q16" s="741" t="s">
        <v>73</v>
      </c>
      <c r="R16" s="742"/>
      <c r="S16" s="300"/>
      <c r="T16" s="733" t="s">
        <v>74</v>
      </c>
      <c r="U16" s="728"/>
      <c r="V16" s="300"/>
      <c r="W16" s="735" t="s">
        <v>75</v>
      </c>
      <c r="X16" s="726"/>
      <c r="Y16" s="300"/>
      <c r="Z16" s="733" t="s">
        <v>77</v>
      </c>
      <c r="AA16" s="728"/>
      <c r="AB16" s="300"/>
      <c r="AC16" s="727" t="s">
        <v>78</v>
      </c>
      <c r="AD16" s="728"/>
      <c r="AE16" s="300"/>
      <c r="AF16" s="727" t="s">
        <v>79</v>
      </c>
      <c r="AG16" s="728"/>
      <c r="AH16" s="300"/>
      <c r="AI16" s="727" t="s">
        <v>80</v>
      </c>
      <c r="AJ16" s="728"/>
      <c r="AK16" s="300"/>
      <c r="AL16" s="727" t="s">
        <v>82</v>
      </c>
      <c r="AM16" s="728"/>
      <c r="AN16" s="300"/>
      <c r="AO16" s="727" t="s">
        <v>83</v>
      </c>
      <c r="AP16" s="728"/>
      <c r="AQ16" s="299"/>
      <c r="AR16" s="299"/>
      <c r="AS16" s="299"/>
      <c r="AT16" s="299"/>
      <c r="AU16" s="299"/>
      <c r="BA16" s="334"/>
      <c r="BB16" s="334"/>
    </row>
    <row r="17" spans="1:55">
      <c r="A17" s="287"/>
      <c r="B17" s="678" t="s">
        <v>65</v>
      </c>
      <c r="C17" s="678"/>
      <c r="D17" s="351"/>
      <c r="E17" s="678" t="s">
        <v>51</v>
      </c>
      <c r="F17" s="678"/>
      <c r="G17" s="351"/>
      <c r="H17" s="678" t="s">
        <v>70</v>
      </c>
      <c r="I17" s="678"/>
      <c r="J17" s="351"/>
      <c r="K17" s="678" t="s">
        <v>56</v>
      </c>
      <c r="L17" s="678"/>
      <c r="M17" s="351"/>
      <c r="N17" s="679" t="s">
        <v>37</v>
      </c>
      <c r="O17" s="678"/>
      <c r="P17" s="351"/>
      <c r="Q17" s="679" t="s">
        <v>56</v>
      </c>
      <c r="R17" s="678"/>
      <c r="S17" s="351"/>
      <c r="T17" s="680" t="s">
        <v>37</v>
      </c>
      <c r="U17" s="680"/>
      <c r="V17" s="351"/>
      <c r="W17" s="678" t="s">
        <v>76</v>
      </c>
      <c r="X17" s="678"/>
      <c r="Y17" s="351"/>
      <c r="Z17" s="680" t="s">
        <v>70</v>
      </c>
      <c r="AA17" s="680"/>
      <c r="AB17" s="351"/>
      <c r="AC17" s="678" t="s">
        <v>70</v>
      </c>
      <c r="AD17" s="678"/>
      <c r="AE17" s="351"/>
      <c r="AF17" s="678" t="s">
        <v>70</v>
      </c>
      <c r="AG17" s="678"/>
      <c r="AH17" s="351"/>
      <c r="AI17" s="678" t="s">
        <v>81</v>
      </c>
      <c r="AJ17" s="678"/>
      <c r="AK17" s="351"/>
      <c r="AL17" s="678" t="s">
        <v>81</v>
      </c>
      <c r="AM17" s="678"/>
      <c r="AN17" s="351"/>
      <c r="AO17" s="726" t="s">
        <v>76</v>
      </c>
      <c r="AP17" s="726"/>
      <c r="BA17" s="334"/>
      <c r="BB17" s="334"/>
    </row>
    <row r="18" spans="1:55">
      <c r="B18" s="298"/>
      <c r="C18" s="298"/>
      <c r="D18" s="331">
        <v>174.2</v>
      </c>
      <c r="E18" s="332"/>
      <c r="F18" s="332"/>
      <c r="G18" s="331">
        <v>229.7</v>
      </c>
      <c r="H18" s="332"/>
      <c r="I18" s="332"/>
      <c r="J18" s="331">
        <v>391</v>
      </c>
      <c r="K18" s="332"/>
      <c r="L18" s="332"/>
      <c r="M18" s="331">
        <v>328</v>
      </c>
      <c r="N18" s="332"/>
      <c r="O18" s="332"/>
      <c r="P18" s="331">
        <v>333</v>
      </c>
      <c r="Q18" s="332"/>
      <c r="R18" s="332"/>
      <c r="S18" s="331">
        <v>350</v>
      </c>
      <c r="T18" s="332"/>
      <c r="U18" s="332"/>
      <c r="V18" s="331">
        <v>331</v>
      </c>
      <c r="W18" s="332"/>
      <c r="X18" s="332"/>
      <c r="Y18" s="331">
        <v>349</v>
      </c>
      <c r="Z18" s="332"/>
      <c r="AA18" s="332"/>
      <c r="AB18" s="331">
        <v>360</v>
      </c>
      <c r="AC18" s="332"/>
      <c r="AD18" s="332"/>
      <c r="AE18" s="331">
        <v>460</v>
      </c>
      <c r="AF18" s="332"/>
      <c r="AG18" s="332"/>
      <c r="AH18" s="331">
        <v>230</v>
      </c>
      <c r="AI18" s="332"/>
      <c r="AJ18" s="332"/>
      <c r="AK18" s="331">
        <v>371.5</v>
      </c>
      <c r="AL18" s="332"/>
      <c r="AM18" s="332"/>
      <c r="AN18" s="331">
        <v>332.5</v>
      </c>
      <c r="AO18" s="332"/>
      <c r="AP18" s="332"/>
      <c r="AQ18" s="331">
        <v>424.4</v>
      </c>
      <c r="AU18" s="498">
        <f>SUM(D18:AQ18)</f>
        <v>4664.2999999999993</v>
      </c>
      <c r="BA18" s="332"/>
      <c r="BB18" s="332"/>
    </row>
    <row r="19" spans="1:55">
      <c r="A19" s="287"/>
      <c r="B19" s="320" t="s">
        <v>535</v>
      </c>
      <c r="C19" s="320"/>
      <c r="D19" s="319"/>
      <c r="E19" s="320" t="s">
        <v>535</v>
      </c>
      <c r="F19" s="322"/>
      <c r="G19" s="319"/>
      <c r="H19" s="320" t="s">
        <v>535</v>
      </c>
      <c r="I19" s="322"/>
      <c r="J19" s="319"/>
      <c r="K19" s="320" t="s">
        <v>535</v>
      </c>
      <c r="L19" s="322"/>
      <c r="M19" s="319"/>
      <c r="N19" s="320" t="s">
        <v>535</v>
      </c>
      <c r="O19" s="320"/>
      <c r="P19" s="319"/>
      <c r="Q19" s="320" t="s">
        <v>535</v>
      </c>
      <c r="R19" s="320"/>
      <c r="S19" s="319"/>
      <c r="T19" s="320" t="s">
        <v>535</v>
      </c>
      <c r="U19" s="320"/>
      <c r="V19" s="319"/>
      <c r="W19" s="320" t="s">
        <v>535</v>
      </c>
      <c r="X19" s="320"/>
      <c r="Y19" s="319"/>
      <c r="Z19" s="320" t="s">
        <v>535</v>
      </c>
      <c r="AA19" s="320"/>
      <c r="AB19" s="315"/>
      <c r="AC19" s="313" t="s">
        <v>535</v>
      </c>
      <c r="AD19" s="313"/>
      <c r="AE19" s="315"/>
      <c r="AF19" s="313" t="s">
        <v>535</v>
      </c>
      <c r="AG19" s="313"/>
      <c r="AH19" s="319"/>
      <c r="AI19" s="320" t="s">
        <v>535</v>
      </c>
      <c r="AJ19" s="320"/>
      <c r="AK19" s="319"/>
      <c r="AL19" s="320" t="s">
        <v>535</v>
      </c>
      <c r="AM19" s="320"/>
      <c r="AN19" s="319"/>
      <c r="AO19" s="320" t="s">
        <v>535</v>
      </c>
      <c r="AP19" s="319"/>
      <c r="BA19" s="334"/>
      <c r="BB19" s="334"/>
    </row>
    <row r="20" spans="1:55">
      <c r="A20" s="287"/>
      <c r="BA20" s="334"/>
      <c r="BB20" s="334"/>
    </row>
    <row r="21" spans="1:55">
      <c r="A21" s="287"/>
      <c r="BA21" s="334"/>
      <c r="BB21" s="334"/>
    </row>
    <row r="22" spans="1:55">
      <c r="A22" s="287"/>
      <c r="B22" s="756"/>
      <c r="C22" s="682"/>
      <c r="E22" s="720"/>
      <c r="F22" s="720"/>
      <c r="H22" s="719"/>
      <c r="I22" s="720"/>
      <c r="K22" s="720"/>
      <c r="L22" s="720"/>
      <c r="N22" s="720"/>
      <c r="O22" s="720"/>
      <c r="Q22" s="719"/>
      <c r="R22" s="720"/>
      <c r="T22" s="719"/>
      <c r="U22" s="720"/>
      <c r="W22" s="719"/>
      <c r="X22" s="720"/>
      <c r="Z22" s="719"/>
      <c r="AA22" s="720"/>
      <c r="AC22" s="719"/>
      <c r="AD22" s="720"/>
      <c r="AF22" s="719"/>
      <c r="AG22" s="720"/>
      <c r="AI22" s="719"/>
      <c r="AJ22" s="720"/>
      <c r="AL22" s="719"/>
      <c r="AM22" s="720"/>
      <c r="AO22" s="719"/>
      <c r="AP22" s="720"/>
      <c r="BA22" s="334"/>
      <c r="BB22" s="334"/>
    </row>
    <row r="23" spans="1:55">
      <c r="A23" s="287"/>
      <c r="B23" s="291"/>
      <c r="C23" s="293"/>
      <c r="D23" s="306"/>
      <c r="E23" s="291"/>
      <c r="F23" s="293"/>
      <c r="G23" s="306"/>
      <c r="H23" s="291"/>
      <c r="I23" s="293"/>
      <c r="J23" s="306"/>
      <c r="K23" s="291"/>
      <c r="L23" s="293"/>
      <c r="M23" s="306"/>
      <c r="N23" s="291"/>
      <c r="O23" s="293"/>
      <c r="P23" s="306"/>
      <c r="Q23" s="291"/>
      <c r="R23" s="293"/>
      <c r="S23" s="306"/>
      <c r="T23" s="291"/>
      <c r="U23" s="293"/>
      <c r="V23" s="306"/>
      <c r="W23" s="291"/>
      <c r="X23" s="293"/>
      <c r="Y23" s="306"/>
      <c r="Z23" s="291"/>
      <c r="AA23" s="293"/>
      <c r="AB23" s="306"/>
      <c r="AC23" s="291"/>
      <c r="AD23" s="293"/>
      <c r="AE23" s="306"/>
      <c r="AF23" s="291"/>
      <c r="AG23" s="293"/>
      <c r="AH23" s="306"/>
      <c r="AI23" s="291"/>
      <c r="AJ23" s="293"/>
      <c r="AK23" s="306"/>
      <c r="AL23" s="291"/>
      <c r="AM23" s="293"/>
      <c r="AN23" s="306"/>
      <c r="AO23" s="291"/>
      <c r="AP23" s="293"/>
      <c r="AQ23" s="306"/>
      <c r="AR23" s="306"/>
      <c r="AS23" s="306"/>
      <c r="AT23" s="306"/>
      <c r="AU23" s="499"/>
      <c r="BA23" s="334"/>
      <c r="BB23" s="334"/>
    </row>
    <row r="24" spans="1:55">
      <c r="A24" s="287"/>
      <c r="B24" s="291"/>
      <c r="C24" s="291"/>
      <c r="D24" s="299"/>
      <c r="E24" s="291"/>
      <c r="F24" s="291"/>
      <c r="G24" s="299"/>
      <c r="H24" s="291"/>
      <c r="I24" s="291"/>
      <c r="J24" s="300"/>
      <c r="K24" s="291"/>
      <c r="L24" s="291"/>
      <c r="M24" s="300"/>
      <c r="N24" s="291"/>
      <c r="O24" s="291"/>
      <c r="P24" s="300"/>
      <c r="Q24" s="291"/>
      <c r="R24" s="291"/>
      <c r="S24" s="300"/>
      <c r="T24" s="291"/>
      <c r="U24" s="291"/>
      <c r="V24" s="300"/>
      <c r="W24" s="291"/>
      <c r="X24" s="291"/>
      <c r="Y24" s="299"/>
      <c r="Z24" s="291"/>
      <c r="AA24" s="291"/>
      <c r="AB24" s="300"/>
      <c r="AC24" s="291"/>
      <c r="AD24" s="291"/>
      <c r="AE24" s="300"/>
      <c r="AF24" s="291"/>
      <c r="AG24" s="291"/>
      <c r="AH24" s="300"/>
      <c r="AI24" s="291"/>
      <c r="AJ24" s="291"/>
      <c r="AK24" s="300"/>
      <c r="AL24" s="291"/>
      <c r="AM24" s="291"/>
      <c r="AN24" s="300"/>
      <c r="AO24" s="291"/>
      <c r="AP24" s="291"/>
      <c r="AQ24" s="300"/>
      <c r="AR24" s="300"/>
      <c r="AS24" s="300"/>
      <c r="AT24" s="300"/>
      <c r="AU24" s="300"/>
      <c r="AW24" s="281">
        <v>14</v>
      </c>
      <c r="AX24" s="281">
        <v>14</v>
      </c>
      <c r="AY24" s="281">
        <v>14</v>
      </c>
      <c r="AZ24" s="281">
        <v>14</v>
      </c>
      <c r="BA24" s="335">
        <f>(SUM(D27:AQ27)/1000)</f>
        <v>4.4368999999999996</v>
      </c>
      <c r="BB24" s="335">
        <f>BA24</f>
        <v>4.4368999999999996</v>
      </c>
      <c r="BC24" s="492"/>
    </row>
    <row r="25" spans="1:55">
      <c r="A25" s="287"/>
      <c r="B25" s="735" t="s">
        <v>84</v>
      </c>
      <c r="C25" s="726"/>
      <c r="D25" s="299"/>
      <c r="E25" s="727" t="s">
        <v>86</v>
      </c>
      <c r="F25" s="728"/>
      <c r="G25" s="299"/>
      <c r="H25" s="736" t="s">
        <v>87</v>
      </c>
      <c r="I25" s="728"/>
      <c r="J25" s="300"/>
      <c r="K25" s="727" t="s">
        <v>88</v>
      </c>
      <c r="L25" s="728"/>
      <c r="M25" s="300"/>
      <c r="N25" s="727" t="s">
        <v>90</v>
      </c>
      <c r="O25" s="728"/>
      <c r="P25" s="300"/>
      <c r="Q25" s="741" t="s">
        <v>91</v>
      </c>
      <c r="R25" s="742"/>
      <c r="S25" s="300"/>
      <c r="T25" s="733" t="s">
        <v>93</v>
      </c>
      <c r="U25" s="728"/>
      <c r="V25" s="300"/>
      <c r="W25" s="735" t="s">
        <v>94</v>
      </c>
      <c r="X25" s="726"/>
      <c r="Y25" s="300"/>
      <c r="Z25" s="735" t="s">
        <v>95</v>
      </c>
      <c r="AA25" s="726"/>
      <c r="AB25" s="300"/>
      <c r="AC25" s="754" t="s">
        <v>96</v>
      </c>
      <c r="AD25" s="754"/>
      <c r="AE25" s="300"/>
      <c r="AF25" s="754" t="s">
        <v>98</v>
      </c>
      <c r="AG25" s="754"/>
      <c r="AH25" s="299"/>
      <c r="AI25" s="754" t="s">
        <v>99</v>
      </c>
      <c r="AJ25" s="754"/>
      <c r="AK25" s="325"/>
      <c r="AL25" s="754" t="s">
        <v>100</v>
      </c>
      <c r="AM25" s="754"/>
      <c r="AN25" s="299"/>
      <c r="AO25" s="754" t="s">
        <v>102</v>
      </c>
      <c r="AP25" s="754"/>
      <c r="BA25" s="334"/>
      <c r="BB25" s="334"/>
    </row>
    <row r="26" spans="1:55">
      <c r="A26" s="287"/>
      <c r="B26" s="726" t="s">
        <v>85</v>
      </c>
      <c r="C26" s="726"/>
      <c r="D26" s="299"/>
      <c r="E26" s="726" t="s">
        <v>56</v>
      </c>
      <c r="F26" s="726"/>
      <c r="G26" s="299"/>
      <c r="H26" s="726" t="s">
        <v>42</v>
      </c>
      <c r="I26" s="726"/>
      <c r="J26" s="299"/>
      <c r="K26" s="726" t="s">
        <v>89</v>
      </c>
      <c r="L26" s="726"/>
      <c r="M26" s="299"/>
      <c r="N26" s="755" t="s">
        <v>76</v>
      </c>
      <c r="O26" s="726"/>
      <c r="P26" s="299"/>
      <c r="Q26" s="755" t="s">
        <v>76</v>
      </c>
      <c r="R26" s="726"/>
      <c r="S26" s="299"/>
      <c r="T26" s="755" t="s">
        <v>81</v>
      </c>
      <c r="U26" s="726"/>
      <c r="V26" s="299"/>
      <c r="W26" s="726" t="s">
        <v>89</v>
      </c>
      <c r="X26" s="726"/>
      <c r="Y26" s="299"/>
      <c r="Z26" s="726" t="s">
        <v>56</v>
      </c>
      <c r="AA26" s="726"/>
      <c r="AB26" s="299"/>
      <c r="AC26" s="745" t="s">
        <v>37</v>
      </c>
      <c r="AD26" s="745"/>
      <c r="AE26" s="326"/>
      <c r="AF26" s="753" t="s">
        <v>39</v>
      </c>
      <c r="AG26" s="753"/>
      <c r="AH26" s="326"/>
      <c r="AI26" s="753" t="s">
        <v>76</v>
      </c>
      <c r="AJ26" s="753"/>
      <c r="AK26" s="326"/>
      <c r="AL26" s="753" t="s">
        <v>76</v>
      </c>
      <c r="AM26" s="753"/>
      <c r="AN26" s="326"/>
      <c r="AO26" s="753" t="s">
        <v>89</v>
      </c>
      <c r="AP26" s="753"/>
      <c r="BA26" s="334"/>
      <c r="BB26" s="334"/>
    </row>
    <row r="27" spans="1:55">
      <c r="B27" s="298"/>
      <c r="C27" s="298"/>
      <c r="D27" s="331">
        <v>326.7</v>
      </c>
      <c r="E27" s="332"/>
      <c r="F27" s="332"/>
      <c r="G27" s="331">
        <v>291.89999999999998</v>
      </c>
      <c r="H27" s="332"/>
      <c r="I27" s="332"/>
      <c r="J27" s="331">
        <v>292</v>
      </c>
      <c r="K27" s="332"/>
      <c r="L27" s="332"/>
      <c r="M27" s="331">
        <v>415</v>
      </c>
      <c r="N27" s="332"/>
      <c r="O27" s="332"/>
      <c r="P27" s="331">
        <v>237</v>
      </c>
      <c r="Q27" s="332"/>
      <c r="R27" s="332"/>
      <c r="S27" s="331">
        <v>188.5</v>
      </c>
      <c r="T27" s="332"/>
      <c r="U27" s="332"/>
      <c r="V27" s="331">
        <v>383</v>
      </c>
      <c r="W27" s="332"/>
      <c r="X27" s="332"/>
      <c r="Y27" s="331">
        <v>311</v>
      </c>
      <c r="Z27" s="332"/>
      <c r="AA27" s="332"/>
      <c r="AB27" s="331">
        <v>350</v>
      </c>
      <c r="AC27" s="332"/>
      <c r="AD27" s="332"/>
      <c r="AE27" s="331">
        <v>291</v>
      </c>
      <c r="AF27" s="332"/>
      <c r="AG27" s="332"/>
      <c r="AH27" s="331">
        <v>342</v>
      </c>
      <c r="AI27" s="332"/>
      <c r="AJ27" s="332"/>
      <c r="AK27" s="331">
        <v>264</v>
      </c>
      <c r="AL27" s="332"/>
      <c r="AM27" s="332"/>
      <c r="AN27" s="331">
        <v>282.7</v>
      </c>
      <c r="AO27" s="332"/>
      <c r="AP27" s="332"/>
      <c r="AQ27" s="331">
        <v>462.1</v>
      </c>
      <c r="AU27" s="498">
        <f>SUM(D27:AQ27)</f>
        <v>4436.8999999999996</v>
      </c>
      <c r="BA27" s="332"/>
      <c r="BB27" s="332"/>
    </row>
    <row r="28" spans="1:55">
      <c r="A28" s="287"/>
      <c r="B28" s="320" t="s">
        <v>535</v>
      </c>
      <c r="C28" s="320"/>
      <c r="D28" s="319"/>
      <c r="E28" s="320" t="s">
        <v>535</v>
      </c>
      <c r="F28" s="322"/>
      <c r="G28" s="319"/>
      <c r="H28" s="320" t="s">
        <v>535</v>
      </c>
      <c r="I28" s="322"/>
      <c r="J28" s="319"/>
      <c r="K28" s="320" t="s">
        <v>535</v>
      </c>
      <c r="L28" s="322"/>
      <c r="M28" s="319"/>
      <c r="N28" s="320" t="s">
        <v>535</v>
      </c>
      <c r="O28" s="320"/>
      <c r="P28" s="319"/>
      <c r="Q28" s="320" t="s">
        <v>535</v>
      </c>
      <c r="R28" s="320"/>
      <c r="S28" s="319"/>
      <c r="T28" s="320" t="s">
        <v>535</v>
      </c>
      <c r="U28" s="320"/>
      <c r="V28" s="319"/>
      <c r="W28" s="320" t="s">
        <v>535</v>
      </c>
      <c r="X28" s="320"/>
      <c r="Y28" s="319"/>
      <c r="Z28" s="320" t="s">
        <v>535</v>
      </c>
      <c r="AA28" s="320"/>
      <c r="AB28" s="319"/>
      <c r="AC28" s="320" t="s">
        <v>535</v>
      </c>
      <c r="AD28" s="320"/>
      <c r="AE28" s="319"/>
      <c r="AF28" s="320" t="s">
        <v>535</v>
      </c>
      <c r="AG28" s="320"/>
      <c r="AH28" s="315"/>
      <c r="AI28" s="313" t="s">
        <v>535</v>
      </c>
      <c r="AJ28" s="313"/>
      <c r="AK28" s="315"/>
      <c r="AL28" s="313" t="s">
        <v>535</v>
      </c>
      <c r="AM28" s="313"/>
      <c r="AN28" s="315"/>
      <c r="AO28" s="313" t="s">
        <v>535</v>
      </c>
      <c r="AP28" s="315"/>
      <c r="AQ28" s="314"/>
      <c r="BA28" s="334"/>
      <c r="BB28" s="334"/>
    </row>
    <row r="29" spans="1:55">
      <c r="A29" s="287"/>
      <c r="BA29" s="334"/>
      <c r="BB29" s="334"/>
    </row>
    <row r="30" spans="1:55">
      <c r="A30" s="287"/>
      <c r="BA30" s="334"/>
      <c r="BB30" s="334"/>
    </row>
    <row r="31" spans="1:55">
      <c r="A31" s="287"/>
      <c r="B31" s="756"/>
      <c r="C31" s="682"/>
      <c r="E31" s="720"/>
      <c r="F31" s="720"/>
      <c r="H31" s="720"/>
      <c r="I31" s="720"/>
      <c r="K31" s="720"/>
      <c r="L31" s="720"/>
      <c r="N31" s="720"/>
      <c r="O31" s="720"/>
      <c r="Q31" s="720"/>
      <c r="R31" s="720"/>
      <c r="T31" s="720"/>
      <c r="U31" s="720"/>
      <c r="W31" s="720"/>
      <c r="X31" s="720"/>
      <c r="Z31" s="720"/>
      <c r="AA31" s="720"/>
      <c r="AC31" s="720"/>
      <c r="AD31" s="720"/>
      <c r="AF31" s="720"/>
      <c r="AG31" s="720"/>
      <c r="AI31" s="720"/>
      <c r="AJ31" s="720"/>
      <c r="AL31" s="720"/>
      <c r="AM31" s="720"/>
      <c r="AO31" s="720"/>
      <c r="AP31" s="720"/>
      <c r="AR31" s="720"/>
      <c r="AS31" s="720"/>
      <c r="AT31" s="284"/>
      <c r="BA31" s="334"/>
      <c r="BB31" s="334"/>
    </row>
    <row r="32" spans="1:55">
      <c r="A32" s="287"/>
      <c r="B32" s="291"/>
      <c r="C32" s="293"/>
      <c r="D32" s="306"/>
      <c r="E32" s="291"/>
      <c r="F32" s="293"/>
      <c r="G32" s="306"/>
      <c r="H32" s="291"/>
      <c r="I32" s="293"/>
      <c r="J32" s="306"/>
      <c r="K32" s="291"/>
      <c r="L32" s="293"/>
      <c r="M32" s="306"/>
      <c r="N32" s="291"/>
      <c r="O32" s="293"/>
      <c r="P32" s="306"/>
      <c r="Q32" s="291"/>
      <c r="R32" s="293"/>
      <c r="S32" s="306"/>
      <c r="T32" s="291"/>
      <c r="U32" s="293"/>
      <c r="V32" s="306"/>
      <c r="W32" s="291"/>
      <c r="X32" s="293"/>
      <c r="Y32" s="306"/>
      <c r="Z32" s="291"/>
      <c r="AA32" s="293"/>
      <c r="AB32" s="306"/>
      <c r="AC32" s="291"/>
      <c r="AD32" s="293"/>
      <c r="AE32" s="306"/>
      <c r="AF32" s="291"/>
      <c r="AG32" s="293"/>
      <c r="AH32" s="306"/>
      <c r="AI32" s="291"/>
      <c r="AJ32" s="293"/>
      <c r="AK32" s="306"/>
      <c r="AL32" s="291"/>
      <c r="AM32" s="293"/>
      <c r="AN32" s="306"/>
      <c r="AO32" s="291"/>
      <c r="AP32" s="293"/>
      <c r="AQ32" s="306"/>
      <c r="AR32" s="291"/>
      <c r="AS32" s="293"/>
      <c r="AT32" s="478"/>
      <c r="AU32" s="499"/>
      <c r="BA32" s="334"/>
      <c r="BB32" s="334"/>
    </row>
    <row r="33" spans="1:55">
      <c r="A33" s="287"/>
      <c r="B33" s="291"/>
      <c r="C33" s="291"/>
      <c r="D33" s="300"/>
      <c r="E33" s="291"/>
      <c r="F33" s="291"/>
      <c r="G33" s="300"/>
      <c r="H33" s="291"/>
      <c r="I33" s="291"/>
      <c r="J33" s="300"/>
      <c r="K33" s="291"/>
      <c r="L33" s="291"/>
      <c r="M33" s="300"/>
      <c r="N33" s="291"/>
      <c r="O33" s="291"/>
      <c r="P33" s="300"/>
      <c r="Q33" s="291"/>
      <c r="R33" s="291"/>
      <c r="S33" s="300"/>
      <c r="T33" s="291"/>
      <c r="U33" s="291"/>
      <c r="V33" s="300"/>
      <c r="W33" s="291"/>
      <c r="X33" s="291"/>
      <c r="Y33" s="299"/>
      <c r="Z33" s="291"/>
      <c r="AA33" s="291"/>
      <c r="AB33" s="300"/>
      <c r="AC33" s="291"/>
      <c r="AD33" s="291"/>
      <c r="AE33" s="300"/>
      <c r="AF33" s="291"/>
      <c r="AG33" s="291"/>
      <c r="AH33" s="299"/>
      <c r="AI33" s="291"/>
      <c r="AJ33" s="291"/>
      <c r="AK33" s="300"/>
      <c r="AL33" s="291"/>
      <c r="AM33" s="291"/>
      <c r="AN33" s="299"/>
      <c r="AO33" s="291"/>
      <c r="AP33" s="291"/>
      <c r="AQ33" s="300"/>
      <c r="AR33" s="291"/>
      <c r="AS33" s="291"/>
      <c r="AT33" s="296"/>
      <c r="AU33" s="300"/>
      <c r="AW33" s="281">
        <v>15</v>
      </c>
      <c r="AX33" s="281">
        <v>15</v>
      </c>
      <c r="AY33" s="281">
        <v>15</v>
      </c>
      <c r="AZ33" s="281">
        <v>15</v>
      </c>
      <c r="BA33" s="335">
        <f>(SUM(D36:AT36))/1000</f>
        <v>4.2901000000000007</v>
      </c>
      <c r="BB33" s="335">
        <f>BA33</f>
        <v>4.2901000000000007</v>
      </c>
      <c r="BC33" s="492"/>
    </row>
    <row r="34" spans="1:55">
      <c r="A34" s="287"/>
      <c r="B34" s="735" t="s">
        <v>104</v>
      </c>
      <c r="C34" s="726"/>
      <c r="D34" s="300"/>
      <c r="E34" s="727" t="s">
        <v>106</v>
      </c>
      <c r="F34" s="728"/>
      <c r="G34" s="300"/>
      <c r="H34" s="727" t="s">
        <v>107</v>
      </c>
      <c r="I34" s="728"/>
      <c r="J34" s="300"/>
      <c r="K34" s="727" t="s">
        <v>108</v>
      </c>
      <c r="L34" s="728"/>
      <c r="M34" s="300"/>
      <c r="N34" s="727" t="s">
        <v>109</v>
      </c>
      <c r="O34" s="728"/>
      <c r="P34" s="300"/>
      <c r="Q34" s="727" t="s">
        <v>111</v>
      </c>
      <c r="R34" s="728"/>
      <c r="S34" s="300"/>
      <c r="T34" s="727" t="s">
        <v>113</v>
      </c>
      <c r="U34" s="728"/>
      <c r="V34" s="300"/>
      <c r="W34" s="727" t="s">
        <v>115</v>
      </c>
      <c r="X34" s="728"/>
      <c r="Y34" s="299"/>
      <c r="Z34" s="727" t="s">
        <v>117</v>
      </c>
      <c r="AA34" s="728"/>
      <c r="AB34" s="300"/>
      <c r="AC34" s="727" t="s">
        <v>118</v>
      </c>
      <c r="AD34" s="728"/>
      <c r="AE34" s="300"/>
      <c r="AF34" s="727" t="s">
        <v>120</v>
      </c>
      <c r="AG34" s="728"/>
      <c r="AH34" s="299"/>
      <c r="AI34" s="727" t="s">
        <v>122</v>
      </c>
      <c r="AJ34" s="728"/>
      <c r="AK34" s="300"/>
      <c r="AL34" s="727" t="s">
        <v>567</v>
      </c>
      <c r="AM34" s="728"/>
      <c r="AN34" s="299"/>
      <c r="AO34" s="727" t="s">
        <v>123</v>
      </c>
      <c r="AP34" s="728"/>
      <c r="AQ34" s="300"/>
      <c r="AR34" s="793" t="s">
        <v>124</v>
      </c>
      <c r="AS34" s="793"/>
      <c r="AT34" s="300"/>
      <c r="AU34" s="300"/>
      <c r="BA34" s="334"/>
      <c r="BB34" s="334"/>
    </row>
    <row r="35" spans="1:55">
      <c r="A35" s="287"/>
      <c r="B35" s="726" t="s">
        <v>39</v>
      </c>
      <c r="C35" s="726"/>
      <c r="D35" s="299"/>
      <c r="E35" s="726" t="s">
        <v>70</v>
      </c>
      <c r="F35" s="726"/>
      <c r="G35" s="299"/>
      <c r="H35" s="726" t="s">
        <v>42</v>
      </c>
      <c r="I35" s="726"/>
      <c r="J35" s="299"/>
      <c r="K35" s="726" t="s">
        <v>42</v>
      </c>
      <c r="L35" s="726"/>
      <c r="M35" s="299"/>
      <c r="N35" s="726" t="s">
        <v>42</v>
      </c>
      <c r="O35" s="726"/>
      <c r="P35" s="299"/>
      <c r="Q35" s="726" t="s">
        <v>34</v>
      </c>
      <c r="R35" s="726"/>
      <c r="S35" s="299"/>
      <c r="T35" s="726" t="s">
        <v>34</v>
      </c>
      <c r="U35" s="726"/>
      <c r="V35" s="299"/>
      <c r="W35" s="726" t="s">
        <v>116</v>
      </c>
      <c r="X35" s="726"/>
      <c r="Y35" s="299"/>
      <c r="Z35" s="726" t="s">
        <v>42</v>
      </c>
      <c r="AA35" s="726"/>
      <c r="AB35" s="299"/>
      <c r="AC35" s="726" t="s">
        <v>42</v>
      </c>
      <c r="AD35" s="726"/>
      <c r="AE35" s="299"/>
      <c r="AF35" s="726" t="s">
        <v>34</v>
      </c>
      <c r="AG35" s="726"/>
      <c r="AH35" s="299"/>
      <c r="AI35" s="726" t="s">
        <v>34</v>
      </c>
      <c r="AJ35" s="726"/>
      <c r="AK35" s="299"/>
      <c r="AL35" s="726" t="s">
        <v>37</v>
      </c>
      <c r="AM35" s="726"/>
      <c r="AN35" s="299"/>
      <c r="AO35" s="726" t="s">
        <v>62</v>
      </c>
      <c r="AP35" s="726"/>
      <c r="AR35" s="477" t="s">
        <v>56</v>
      </c>
      <c r="BA35" s="334"/>
      <c r="BB35" s="334"/>
    </row>
    <row r="36" spans="1:55">
      <c r="A36" s="287"/>
      <c r="B36" s="298"/>
      <c r="C36" s="298"/>
      <c r="D36" s="299">
        <v>318</v>
      </c>
      <c r="E36" s="298"/>
      <c r="F36" s="298"/>
      <c r="G36" s="299">
        <v>364</v>
      </c>
      <c r="H36" s="298"/>
      <c r="I36" s="298"/>
      <c r="J36" s="299">
        <v>279</v>
      </c>
      <c r="K36" s="298"/>
      <c r="L36" s="298"/>
      <c r="M36" s="299">
        <v>252</v>
      </c>
      <c r="N36" s="298"/>
      <c r="O36" s="298"/>
      <c r="P36" s="299">
        <v>257.10000000000002</v>
      </c>
      <c r="Q36" s="298"/>
      <c r="R36" s="298"/>
      <c r="S36" s="299">
        <v>170.7</v>
      </c>
      <c r="T36" s="298"/>
      <c r="U36" s="298"/>
      <c r="V36" s="299">
        <v>336.5</v>
      </c>
      <c r="W36" s="298"/>
      <c r="X36" s="298"/>
      <c r="Y36" s="299">
        <v>365</v>
      </c>
      <c r="Z36" s="298"/>
      <c r="AA36" s="298"/>
      <c r="AB36" s="299">
        <v>280</v>
      </c>
      <c r="AC36" s="298"/>
      <c r="AD36" s="298"/>
      <c r="AE36" s="299">
        <v>255.1</v>
      </c>
      <c r="AF36" s="298"/>
      <c r="AG36" s="298"/>
      <c r="AH36" s="299">
        <v>318.8</v>
      </c>
      <c r="AI36" s="298"/>
      <c r="AJ36" s="298"/>
      <c r="AK36" s="299">
        <v>311.60000000000002</v>
      </c>
      <c r="AL36" s="298"/>
      <c r="AM36" s="298"/>
      <c r="AN36" s="299">
        <v>124.5</v>
      </c>
      <c r="AO36" s="298"/>
      <c r="AP36" s="298"/>
      <c r="AQ36" s="275">
        <v>264.8</v>
      </c>
      <c r="AT36" s="275">
        <v>393</v>
      </c>
      <c r="AU36" s="498">
        <f>SUM(D36:AT36)</f>
        <v>4290.1000000000004</v>
      </c>
      <c r="AV36" s="456">
        <v>393393</v>
      </c>
      <c r="BA36" s="332"/>
      <c r="BB36" s="332"/>
    </row>
    <row r="37" spans="1:55">
      <c r="A37" s="287"/>
      <c r="B37" s="320" t="s">
        <v>535</v>
      </c>
      <c r="C37" s="320"/>
      <c r="D37" s="319"/>
      <c r="E37" s="320" t="s">
        <v>535</v>
      </c>
      <c r="F37" s="322"/>
      <c r="G37" s="319"/>
      <c r="H37" s="320" t="s">
        <v>535</v>
      </c>
      <c r="I37" s="322"/>
      <c r="J37" s="319"/>
      <c r="K37" s="320" t="s">
        <v>535</v>
      </c>
      <c r="L37" s="322"/>
      <c r="M37" s="319"/>
      <c r="N37" s="320" t="s">
        <v>535</v>
      </c>
      <c r="O37" s="320"/>
      <c r="P37" s="319"/>
      <c r="Q37" s="320" t="s">
        <v>535</v>
      </c>
      <c r="R37" s="320"/>
      <c r="S37" s="319"/>
      <c r="T37" s="320" t="s">
        <v>535</v>
      </c>
      <c r="U37" s="320"/>
      <c r="V37" s="319"/>
      <c r="W37" s="320" t="s">
        <v>535</v>
      </c>
      <c r="X37" s="320"/>
      <c r="Y37" s="319"/>
      <c r="Z37" s="320" t="s">
        <v>535</v>
      </c>
      <c r="AA37" s="320"/>
      <c r="AB37" s="319"/>
      <c r="AC37" s="320" t="s">
        <v>535</v>
      </c>
      <c r="AD37" s="320"/>
      <c r="AE37" s="319"/>
      <c r="AF37" s="320" t="s">
        <v>535</v>
      </c>
      <c r="AG37" s="320"/>
      <c r="AH37" s="319"/>
      <c r="AI37" s="320" t="s">
        <v>535</v>
      </c>
      <c r="AJ37" s="320"/>
      <c r="AK37" s="319"/>
      <c r="AL37" s="320" t="s">
        <v>535</v>
      </c>
      <c r="AM37" s="320"/>
      <c r="AN37" s="319"/>
      <c r="AO37" s="320" t="s">
        <v>535</v>
      </c>
      <c r="AP37" s="319"/>
      <c r="AQ37" s="319"/>
      <c r="AR37" s="320" t="s">
        <v>535</v>
      </c>
      <c r="AS37" s="319"/>
      <c r="AT37" s="319"/>
      <c r="AU37" s="299"/>
      <c r="BA37" s="334"/>
      <c r="BB37" s="334"/>
    </row>
    <row r="38" spans="1:55">
      <c r="A38" s="287"/>
      <c r="AE38" s="274"/>
      <c r="AF38" s="275"/>
      <c r="AI38" s="275"/>
      <c r="BA38" s="334"/>
      <c r="BB38" s="334"/>
    </row>
    <row r="39" spans="1:55">
      <c r="A39" s="287"/>
      <c r="BA39" s="334"/>
      <c r="BB39" s="334"/>
    </row>
    <row r="40" spans="1:55">
      <c r="A40" s="287"/>
      <c r="B40" s="682"/>
      <c r="C40" s="682"/>
      <c r="E40" s="720"/>
      <c r="F40" s="720"/>
      <c r="H40" s="720"/>
      <c r="I40" s="720"/>
      <c r="K40" s="720"/>
      <c r="L40" s="720"/>
      <c r="N40" s="720"/>
      <c r="O40" s="720"/>
      <c r="Q40" s="720"/>
      <c r="R40" s="720"/>
      <c r="T40" s="720"/>
      <c r="U40" s="720"/>
      <c r="W40" s="720"/>
      <c r="X40" s="720"/>
      <c r="Z40" s="720"/>
      <c r="AA40" s="720"/>
      <c r="AC40" s="720"/>
      <c r="AD40" s="720"/>
      <c r="AF40" s="720"/>
      <c r="AG40" s="720"/>
      <c r="AI40" s="720"/>
      <c r="AJ40" s="720"/>
      <c r="AL40" s="720"/>
      <c r="AM40" s="720"/>
      <c r="AO40" s="720"/>
      <c r="AP40" s="720"/>
      <c r="BA40" s="334"/>
      <c r="BB40" s="334"/>
    </row>
    <row r="41" spans="1:55">
      <c r="A41" s="287"/>
      <c r="B41" s="293"/>
      <c r="C41" s="293"/>
      <c r="D41" s="306"/>
      <c r="E41" s="291"/>
      <c r="F41" s="293"/>
      <c r="G41" s="306"/>
      <c r="H41" s="291"/>
      <c r="I41" s="293"/>
      <c r="J41" s="288"/>
      <c r="K41" s="291"/>
      <c r="L41" s="293"/>
      <c r="M41" s="306"/>
      <c r="N41" s="291"/>
      <c r="O41" s="293"/>
      <c r="P41" s="306"/>
      <c r="Q41" s="291"/>
      <c r="R41" s="323"/>
      <c r="S41" s="306"/>
      <c r="T41" s="291"/>
      <c r="U41" s="293"/>
      <c r="V41" s="306"/>
      <c r="W41" s="291"/>
      <c r="X41" s="293"/>
      <c r="Y41" s="306"/>
      <c r="Z41" s="291"/>
      <c r="AA41" s="293"/>
      <c r="AB41" s="306"/>
      <c r="AC41" s="291"/>
      <c r="AD41" s="293"/>
      <c r="AE41" s="306"/>
      <c r="AF41" s="291"/>
      <c r="AG41" s="293"/>
      <c r="AH41" s="306"/>
      <c r="AI41" s="291"/>
      <c r="AJ41" s="293"/>
      <c r="AK41" s="306"/>
      <c r="AL41" s="291"/>
      <c r="AM41" s="293"/>
      <c r="AN41" s="306"/>
      <c r="AO41" s="291"/>
      <c r="AP41" s="293"/>
      <c r="AQ41" s="306"/>
      <c r="AR41" s="306"/>
      <c r="AS41" s="306"/>
      <c r="AT41" s="306"/>
      <c r="AU41" s="499"/>
      <c r="BA41" s="334"/>
      <c r="BB41" s="334"/>
    </row>
    <row r="42" spans="1:55">
      <c r="A42" s="287"/>
      <c r="B42" s="291"/>
      <c r="C42" s="291"/>
      <c r="D42" s="299"/>
      <c r="E42" s="291"/>
      <c r="F42" s="291"/>
      <c r="G42" s="300"/>
      <c r="H42" s="291"/>
      <c r="I42" s="291"/>
      <c r="J42" s="299"/>
      <c r="K42" s="291"/>
      <c r="L42" s="291"/>
      <c r="M42" s="300"/>
      <c r="N42" s="291"/>
      <c r="O42" s="291"/>
      <c r="P42" s="299"/>
      <c r="Q42" s="291"/>
      <c r="R42" s="291"/>
      <c r="S42" s="300"/>
      <c r="T42" s="291"/>
      <c r="U42" s="291"/>
      <c r="V42" s="299"/>
      <c r="W42" s="291"/>
      <c r="X42" s="291"/>
      <c r="Y42" s="299"/>
      <c r="Z42" s="291"/>
      <c r="AA42" s="291"/>
      <c r="AB42" s="299"/>
      <c r="AC42" s="291"/>
      <c r="AD42" s="291"/>
      <c r="AE42" s="299"/>
      <c r="AF42" s="291"/>
      <c r="AG42" s="291"/>
      <c r="AH42" s="299"/>
      <c r="AI42" s="291"/>
      <c r="AJ42" s="291"/>
      <c r="AK42" s="299"/>
      <c r="AL42" s="291"/>
      <c r="AM42" s="291"/>
      <c r="AO42" s="291"/>
      <c r="AP42" s="291"/>
      <c r="AQ42" s="299"/>
      <c r="AR42" s="299"/>
      <c r="AS42" s="299"/>
      <c r="AT42" s="299"/>
      <c r="AU42" s="299"/>
      <c r="AW42" s="281">
        <v>14</v>
      </c>
      <c r="AX42" s="281">
        <v>14</v>
      </c>
      <c r="AY42" s="281">
        <v>14</v>
      </c>
      <c r="AZ42" s="281">
        <v>14</v>
      </c>
      <c r="BA42" s="335">
        <f>SUM(D45:AQ45)/1000</f>
        <v>4.9741999999999997</v>
      </c>
      <c r="BB42" s="335">
        <f>(SUM(D45:AQ46))/1000</f>
        <v>4.9741999999999997</v>
      </c>
      <c r="BC42" s="492"/>
    </row>
    <row r="43" spans="1:55">
      <c r="A43" s="287"/>
      <c r="B43" s="735" t="s">
        <v>125</v>
      </c>
      <c r="C43" s="726"/>
      <c r="D43" s="299"/>
      <c r="E43" s="727" t="s">
        <v>126</v>
      </c>
      <c r="F43" s="728"/>
      <c r="G43" s="299"/>
      <c r="H43" s="727" t="s">
        <v>127</v>
      </c>
      <c r="I43" s="728"/>
      <c r="J43" s="299"/>
      <c r="K43" s="727" t="s">
        <v>128</v>
      </c>
      <c r="L43" s="728"/>
      <c r="M43" s="299"/>
      <c r="N43" s="727" t="s">
        <v>130</v>
      </c>
      <c r="O43" s="728"/>
      <c r="P43" s="299"/>
      <c r="Q43" s="727" t="s">
        <v>131</v>
      </c>
      <c r="R43" s="728"/>
      <c r="S43" s="299"/>
      <c r="T43" s="727" t="s">
        <v>132</v>
      </c>
      <c r="U43" s="728"/>
      <c r="V43" s="299"/>
      <c r="W43" s="727" t="s">
        <v>133</v>
      </c>
      <c r="X43" s="728"/>
      <c r="Y43" s="299"/>
      <c r="Z43" s="727" t="s">
        <v>134</v>
      </c>
      <c r="AA43" s="728"/>
      <c r="AB43" s="299"/>
      <c r="AC43" s="727" t="s">
        <v>135</v>
      </c>
      <c r="AD43" s="728"/>
      <c r="AE43" s="299"/>
      <c r="AF43" s="727" t="s">
        <v>136</v>
      </c>
      <c r="AG43" s="728"/>
      <c r="AH43" s="299"/>
      <c r="AI43" s="727" t="s">
        <v>137</v>
      </c>
      <c r="AJ43" s="728"/>
      <c r="AK43" s="325"/>
      <c r="AL43" s="727" t="s">
        <v>138</v>
      </c>
      <c r="AM43" s="728"/>
      <c r="AN43" s="299"/>
      <c r="AO43" s="727" t="s">
        <v>139</v>
      </c>
      <c r="AP43" s="728"/>
      <c r="BA43" s="334"/>
      <c r="BB43" s="334"/>
    </row>
    <row r="44" spans="1:55">
      <c r="A44" s="287"/>
      <c r="B44" s="726" t="s">
        <v>76</v>
      </c>
      <c r="C44" s="726"/>
      <c r="D44" s="299"/>
      <c r="E44" s="726" t="s">
        <v>89</v>
      </c>
      <c r="F44" s="726"/>
      <c r="G44" s="299"/>
      <c r="H44" s="726" t="s">
        <v>76</v>
      </c>
      <c r="I44" s="726"/>
      <c r="J44" s="299"/>
      <c r="K44" s="726" t="s">
        <v>76</v>
      </c>
      <c r="L44" s="726"/>
      <c r="M44" s="299"/>
      <c r="N44" s="726" t="s">
        <v>39</v>
      </c>
      <c r="O44" s="726"/>
      <c r="P44" s="299"/>
      <c r="Q44" s="726" t="s">
        <v>89</v>
      </c>
      <c r="R44" s="726"/>
      <c r="S44" s="299"/>
      <c r="T44" s="726" t="s">
        <v>70</v>
      </c>
      <c r="U44" s="726"/>
      <c r="V44" s="299"/>
      <c r="W44" s="726" t="s">
        <v>37</v>
      </c>
      <c r="X44" s="726"/>
      <c r="Y44" s="299"/>
      <c r="Z44" s="726" t="s">
        <v>42</v>
      </c>
      <c r="AA44" s="726"/>
      <c r="AB44" s="299"/>
      <c r="AC44" s="726" t="s">
        <v>70</v>
      </c>
      <c r="AD44" s="726"/>
      <c r="AE44" s="299"/>
      <c r="AF44" s="726" t="s">
        <v>70</v>
      </c>
      <c r="AG44" s="726"/>
      <c r="AH44" s="299"/>
      <c r="AI44" s="726" t="s">
        <v>89</v>
      </c>
      <c r="AJ44" s="726"/>
      <c r="AK44" s="299"/>
      <c r="AL44" s="726" t="s">
        <v>70</v>
      </c>
      <c r="AM44" s="726"/>
      <c r="AN44" s="299"/>
      <c r="AO44" s="726" t="s">
        <v>42</v>
      </c>
      <c r="AP44" s="726"/>
      <c r="BA44" s="334"/>
      <c r="BB44" s="334"/>
    </row>
    <row r="45" spans="1:55">
      <c r="A45" s="287"/>
      <c r="B45" s="298"/>
      <c r="C45" s="298"/>
      <c r="D45" s="299">
        <v>459</v>
      </c>
      <c r="E45" s="298"/>
      <c r="F45" s="298"/>
      <c r="G45" s="299">
        <v>195</v>
      </c>
      <c r="H45" s="298"/>
      <c r="I45" s="298"/>
      <c r="J45" s="299">
        <v>295</v>
      </c>
      <c r="K45" s="298"/>
      <c r="L45" s="298"/>
      <c r="M45" s="299">
        <v>380.2</v>
      </c>
      <c r="N45" s="298"/>
      <c r="O45" s="298"/>
      <c r="P45" s="299">
        <v>428</v>
      </c>
      <c r="Q45" s="298"/>
      <c r="R45" s="298"/>
      <c r="S45" s="299">
        <v>419</v>
      </c>
      <c r="T45" s="298"/>
      <c r="U45" s="298"/>
      <c r="V45" s="299">
        <v>345</v>
      </c>
      <c r="W45" s="298"/>
      <c r="X45" s="298"/>
      <c r="Y45" s="299">
        <v>296</v>
      </c>
      <c r="Z45" s="298"/>
      <c r="AA45" s="298"/>
      <c r="AB45" s="299">
        <v>259</v>
      </c>
      <c r="AC45" s="298"/>
      <c r="AD45" s="298"/>
      <c r="AE45" s="299">
        <v>343.9</v>
      </c>
      <c r="AF45" s="298"/>
      <c r="AG45" s="298"/>
      <c r="AH45" s="299">
        <v>499.1</v>
      </c>
      <c r="AI45" s="298"/>
      <c r="AJ45" s="298"/>
      <c r="AK45" s="299">
        <v>434</v>
      </c>
      <c r="AL45" s="298"/>
      <c r="AM45" s="298"/>
      <c r="AN45" s="299">
        <v>295</v>
      </c>
      <c r="AO45" s="298"/>
      <c r="AP45" s="298"/>
      <c r="AQ45" s="275">
        <v>326</v>
      </c>
      <c r="BA45" s="332"/>
      <c r="BB45" s="332"/>
    </row>
    <row r="46" spans="1:55">
      <c r="A46" s="287"/>
      <c r="B46" s="313" t="s">
        <v>535</v>
      </c>
      <c r="C46" s="313"/>
      <c r="D46" s="315"/>
      <c r="E46" s="313" t="s">
        <v>535</v>
      </c>
      <c r="F46" s="318"/>
      <c r="G46" s="315"/>
      <c r="H46" s="313" t="s">
        <v>535</v>
      </c>
      <c r="I46" s="313"/>
      <c r="J46" s="315"/>
      <c r="K46" s="313" t="s">
        <v>535</v>
      </c>
      <c r="L46" s="313"/>
      <c r="M46" s="315"/>
      <c r="N46" s="313" t="s">
        <v>535</v>
      </c>
      <c r="O46" s="313"/>
      <c r="P46" s="315"/>
      <c r="Q46" s="313" t="s">
        <v>568</v>
      </c>
      <c r="R46" s="313"/>
      <c r="S46" s="315"/>
      <c r="T46" s="352" t="s">
        <v>568</v>
      </c>
      <c r="U46" s="352"/>
      <c r="V46" s="351"/>
      <c r="W46" s="352" t="s">
        <v>568</v>
      </c>
      <c r="X46" s="352"/>
      <c r="Y46" s="315"/>
      <c r="Z46" s="313" t="s">
        <v>568</v>
      </c>
      <c r="AA46" s="313"/>
      <c r="AB46" s="315"/>
      <c r="AC46" s="313" t="s">
        <v>568</v>
      </c>
      <c r="AD46" s="313"/>
      <c r="AE46" s="315"/>
      <c r="AF46" s="313" t="s">
        <v>568</v>
      </c>
      <c r="AG46" s="313"/>
      <c r="AH46" s="315"/>
      <c r="AI46" s="313" t="s">
        <v>568</v>
      </c>
      <c r="AJ46" s="313"/>
      <c r="AK46" s="315"/>
      <c r="AL46" s="313" t="s">
        <v>568</v>
      </c>
      <c r="AM46" s="313"/>
      <c r="AN46" s="315"/>
      <c r="AO46" s="313" t="s">
        <v>568</v>
      </c>
      <c r="AP46" s="313"/>
      <c r="AQ46" s="314"/>
      <c r="BA46" s="334"/>
      <c r="BB46" s="334"/>
    </row>
    <row r="47" spans="1:55">
      <c r="A47" s="287"/>
      <c r="W47" s="301"/>
      <c r="Z47" s="301"/>
      <c r="AC47" s="301"/>
      <c r="AL47" s="301"/>
      <c r="AU47" s="498">
        <f>SUM(D45:AQ45)</f>
        <v>4974.2</v>
      </c>
      <c r="BA47" s="334"/>
      <c r="BB47" s="334"/>
    </row>
    <row r="48" spans="1:55">
      <c r="A48" s="287"/>
      <c r="AK48" s="274"/>
      <c r="BA48" s="334"/>
      <c r="BB48" s="334"/>
    </row>
    <row r="49" spans="1:55">
      <c r="A49" s="287"/>
      <c r="B49" s="682"/>
      <c r="C49" s="682"/>
      <c r="E49" s="720"/>
      <c r="F49" s="720"/>
      <c r="H49" s="720"/>
      <c r="I49" s="720"/>
      <c r="K49" s="720"/>
      <c r="L49" s="720"/>
      <c r="N49" s="720"/>
      <c r="O49" s="720"/>
      <c r="Q49" s="720"/>
      <c r="R49" s="720"/>
      <c r="T49" s="720"/>
      <c r="U49" s="720"/>
      <c r="W49" s="720"/>
      <c r="X49" s="720"/>
      <c r="Z49" s="720"/>
      <c r="AA49" s="720"/>
      <c r="AC49" s="720"/>
      <c r="AD49" s="720"/>
      <c r="AF49" s="720"/>
      <c r="AG49" s="720"/>
      <c r="AI49" s="720"/>
      <c r="AJ49" s="720"/>
      <c r="AL49" s="720"/>
      <c r="AM49" s="720"/>
      <c r="AO49" s="720"/>
      <c r="AP49" s="720"/>
      <c r="BA49" s="334"/>
      <c r="BB49" s="334"/>
    </row>
    <row r="50" spans="1:55">
      <c r="A50" s="287"/>
      <c r="B50" s="291"/>
      <c r="C50" s="323"/>
      <c r="D50" s="306"/>
      <c r="E50" s="291"/>
      <c r="F50" s="323"/>
      <c r="G50" s="306"/>
      <c r="H50" s="291"/>
      <c r="I50" s="323"/>
      <c r="J50" s="306"/>
      <c r="K50" s="291"/>
      <c r="L50" s="323"/>
      <c r="M50" s="306"/>
      <c r="N50" s="291"/>
      <c r="O50" s="323"/>
      <c r="P50" s="306"/>
      <c r="Q50" s="291"/>
      <c r="R50" s="323"/>
      <c r="S50" s="306"/>
      <c r="T50" s="291"/>
      <c r="U50" s="323"/>
      <c r="V50" s="306"/>
      <c r="W50" s="291"/>
      <c r="X50" s="323"/>
      <c r="Y50" s="306"/>
      <c r="Z50" s="291"/>
      <c r="AA50" s="293"/>
      <c r="AB50" s="306"/>
      <c r="AC50" s="291"/>
      <c r="AD50" s="293"/>
      <c r="AE50" s="306"/>
      <c r="AF50" s="291"/>
      <c r="AG50" s="291"/>
      <c r="AH50" s="306"/>
      <c r="AI50" s="293"/>
      <c r="AJ50" s="293"/>
      <c r="AK50" s="306"/>
      <c r="AL50" s="293"/>
      <c r="AM50" s="293"/>
      <c r="AN50" s="306"/>
      <c r="AO50" s="293"/>
      <c r="AP50" s="293"/>
      <c r="AQ50" s="306"/>
      <c r="AR50" s="306"/>
      <c r="AS50" s="306"/>
      <c r="AT50" s="306"/>
      <c r="AU50" s="499"/>
      <c r="BA50" s="334"/>
      <c r="BB50" s="334"/>
    </row>
    <row r="51" spans="1:55">
      <c r="A51" s="287"/>
      <c r="B51" s="291"/>
      <c r="C51" s="291"/>
      <c r="D51" s="300"/>
      <c r="E51" s="291"/>
      <c r="F51" s="291"/>
      <c r="G51" s="300"/>
      <c r="H51" s="291"/>
      <c r="I51" s="291"/>
      <c r="J51" s="306"/>
      <c r="K51" s="291"/>
      <c r="L51" s="323"/>
      <c r="M51" s="300"/>
      <c r="N51" s="291"/>
      <c r="O51" s="291"/>
      <c r="P51" s="300"/>
      <c r="Q51" s="291"/>
      <c r="R51" s="291"/>
      <c r="S51" s="300"/>
      <c r="T51" s="291"/>
      <c r="U51" s="291"/>
      <c r="V51" s="300"/>
      <c r="W51" s="291"/>
      <c r="X51" s="291"/>
      <c r="Y51" s="300"/>
      <c r="Z51" s="291"/>
      <c r="AA51" s="291"/>
      <c r="AB51" s="300"/>
      <c r="AC51" s="291"/>
      <c r="AD51" s="291"/>
      <c r="AE51" s="300"/>
      <c r="AF51" s="291"/>
      <c r="AG51" s="291"/>
      <c r="AH51" s="300"/>
      <c r="AI51" s="291"/>
      <c r="AJ51" s="291"/>
      <c r="AK51" s="300"/>
      <c r="AL51" s="293"/>
      <c r="AM51" s="293"/>
      <c r="AN51" s="300"/>
      <c r="AO51" s="293"/>
      <c r="AP51" s="293"/>
      <c r="AQ51" s="300"/>
      <c r="AR51" s="300"/>
      <c r="AS51" s="300"/>
      <c r="AT51" s="300"/>
      <c r="AU51" s="300"/>
      <c r="AW51" s="281">
        <v>14</v>
      </c>
      <c r="AX51" s="281">
        <v>14</v>
      </c>
      <c r="AY51" s="281">
        <v>14</v>
      </c>
      <c r="AZ51" s="281">
        <v>14</v>
      </c>
      <c r="BA51" s="335">
        <f>SUM(D54:AQ54)/1000</f>
        <v>4.5814000000000004</v>
      </c>
      <c r="BB51" s="335">
        <f>BA51</f>
        <v>4.5814000000000004</v>
      </c>
      <c r="BC51" s="492"/>
    </row>
    <row r="52" spans="1:55">
      <c r="A52" s="287"/>
      <c r="B52" s="735" t="s">
        <v>140</v>
      </c>
      <c r="C52" s="726"/>
      <c r="D52" s="299"/>
      <c r="E52" s="727" t="s">
        <v>141</v>
      </c>
      <c r="F52" s="728"/>
      <c r="G52" s="299"/>
      <c r="H52" s="736" t="s">
        <v>142</v>
      </c>
      <c r="I52" s="728"/>
      <c r="J52" s="300"/>
      <c r="K52" s="727" t="s">
        <v>144</v>
      </c>
      <c r="L52" s="728"/>
      <c r="M52" s="316"/>
      <c r="N52" s="727" t="s">
        <v>145</v>
      </c>
      <c r="O52" s="728"/>
      <c r="P52" s="299"/>
      <c r="Q52" s="741" t="s">
        <v>146</v>
      </c>
      <c r="R52" s="742"/>
      <c r="S52" s="299"/>
      <c r="T52" s="733" t="s">
        <v>147</v>
      </c>
      <c r="U52" s="728"/>
      <c r="V52" s="299"/>
      <c r="W52" s="735" t="s">
        <v>148</v>
      </c>
      <c r="X52" s="726"/>
      <c r="Y52" s="299"/>
      <c r="Z52" s="735" t="s">
        <v>149</v>
      </c>
      <c r="AA52" s="726"/>
      <c r="AB52" s="299"/>
      <c r="AC52" s="727" t="s">
        <v>150</v>
      </c>
      <c r="AD52" s="728"/>
      <c r="AE52" s="299"/>
      <c r="AF52" s="727" t="s">
        <v>151</v>
      </c>
      <c r="AG52" s="728"/>
      <c r="AH52" s="325"/>
      <c r="AI52" s="727" t="s">
        <v>152</v>
      </c>
      <c r="AJ52" s="728"/>
      <c r="AK52" s="325"/>
      <c r="AL52" s="727" t="s">
        <v>153</v>
      </c>
      <c r="AM52" s="728"/>
      <c r="AN52" s="299"/>
      <c r="AO52" s="727" t="s">
        <v>155</v>
      </c>
      <c r="AP52" s="728"/>
      <c r="BA52" s="334"/>
      <c r="BB52" s="334"/>
    </row>
    <row r="53" spans="1:55">
      <c r="A53" s="287"/>
      <c r="B53" s="726" t="s">
        <v>56</v>
      </c>
      <c r="C53" s="726"/>
      <c r="D53" s="299"/>
      <c r="E53" s="726" t="s">
        <v>89</v>
      </c>
      <c r="F53" s="726"/>
      <c r="G53" s="299"/>
      <c r="H53" s="726" t="s">
        <v>76</v>
      </c>
      <c r="I53" s="726"/>
      <c r="J53" s="299"/>
      <c r="K53" s="726" t="s">
        <v>116</v>
      </c>
      <c r="L53" s="726"/>
      <c r="M53" s="299"/>
      <c r="N53" s="726" t="s">
        <v>42</v>
      </c>
      <c r="O53" s="726"/>
      <c r="P53" s="299"/>
      <c r="Q53" s="755" t="s">
        <v>37</v>
      </c>
      <c r="R53" s="755"/>
      <c r="S53" s="299"/>
      <c r="T53" s="755" t="s">
        <v>42</v>
      </c>
      <c r="U53" s="755"/>
      <c r="V53" s="299"/>
      <c r="W53" s="726" t="s">
        <v>76</v>
      </c>
      <c r="X53" s="726"/>
      <c r="Y53" s="299"/>
      <c r="Z53" s="726" t="s">
        <v>81</v>
      </c>
      <c r="AA53" s="726"/>
      <c r="AB53" s="299"/>
      <c r="AC53" s="726" t="s">
        <v>85</v>
      </c>
      <c r="AD53" s="726"/>
      <c r="AE53" s="299"/>
      <c r="AF53" s="726" t="s">
        <v>42</v>
      </c>
      <c r="AG53" s="726"/>
      <c r="AH53" s="299"/>
      <c r="AI53" s="726" t="s">
        <v>42</v>
      </c>
      <c r="AJ53" s="726"/>
      <c r="AK53" s="299"/>
      <c r="AL53" s="726" t="s">
        <v>37</v>
      </c>
      <c r="AM53" s="726"/>
      <c r="AN53" s="299"/>
      <c r="AO53" s="726" t="s">
        <v>34</v>
      </c>
      <c r="AP53" s="726"/>
      <c r="BA53" s="334"/>
      <c r="BB53" s="334"/>
    </row>
    <row r="54" spans="1:55">
      <c r="A54" s="287"/>
      <c r="B54" s="298"/>
      <c r="C54" s="298"/>
      <c r="D54" s="299">
        <v>298</v>
      </c>
      <c r="E54" s="298"/>
      <c r="F54" s="298"/>
      <c r="G54" s="299">
        <v>489</v>
      </c>
      <c r="H54" s="298"/>
      <c r="I54" s="298"/>
      <c r="J54" s="299">
        <v>382.5</v>
      </c>
      <c r="K54" s="298"/>
      <c r="L54" s="298"/>
      <c r="M54" s="299">
        <v>372.4</v>
      </c>
      <c r="N54" s="298"/>
      <c r="O54" s="298"/>
      <c r="P54" s="299">
        <v>350</v>
      </c>
      <c r="Q54" s="330"/>
      <c r="R54" s="330"/>
      <c r="S54" s="299">
        <v>303.60000000000002</v>
      </c>
      <c r="T54" s="330"/>
      <c r="U54" s="330"/>
      <c r="V54" s="299">
        <v>224.3</v>
      </c>
      <c r="W54" s="298"/>
      <c r="X54" s="298"/>
      <c r="Y54" s="299">
        <v>246.8</v>
      </c>
      <c r="Z54" s="298"/>
      <c r="AA54" s="298"/>
      <c r="AB54" s="299">
        <v>418.2</v>
      </c>
      <c r="AC54" s="298"/>
      <c r="AD54" s="298"/>
      <c r="AE54" s="299">
        <v>298.7</v>
      </c>
      <c r="AF54" s="298"/>
      <c r="AG54" s="298"/>
      <c r="AH54" s="299">
        <v>358.7</v>
      </c>
      <c r="AI54" s="298"/>
      <c r="AJ54" s="298"/>
      <c r="AK54" s="299">
        <v>366.1</v>
      </c>
      <c r="AL54" s="298"/>
      <c r="AM54" s="298"/>
      <c r="AN54" s="299">
        <v>255.6</v>
      </c>
      <c r="AO54" s="298"/>
      <c r="AP54" s="298"/>
      <c r="AQ54" s="275">
        <v>217.5</v>
      </c>
      <c r="AU54" s="498">
        <f>SUM(D54:AQ54)</f>
        <v>4581.4000000000005</v>
      </c>
      <c r="BA54" s="332"/>
      <c r="BB54" s="332"/>
    </row>
    <row r="55" spans="1:55">
      <c r="A55" s="287"/>
      <c r="B55" s="313" t="s">
        <v>568</v>
      </c>
      <c r="C55" s="313"/>
      <c r="D55" s="315"/>
      <c r="E55" s="313" t="s">
        <v>568</v>
      </c>
      <c r="F55" s="313"/>
      <c r="G55" s="315"/>
      <c r="H55" s="313" t="s">
        <v>568</v>
      </c>
      <c r="I55" s="318"/>
      <c r="J55" s="315"/>
      <c r="K55" s="313" t="s">
        <v>568</v>
      </c>
      <c r="L55" s="318"/>
      <c r="M55" s="315"/>
      <c r="N55" s="313" t="s">
        <v>568</v>
      </c>
      <c r="O55" s="313"/>
      <c r="P55" s="315"/>
      <c r="Q55" s="313" t="s">
        <v>568</v>
      </c>
      <c r="R55" s="313"/>
      <c r="S55" s="315"/>
      <c r="T55" s="313" t="s">
        <v>568</v>
      </c>
      <c r="U55" s="313"/>
      <c r="V55" s="315"/>
      <c r="W55" s="313" t="s">
        <v>568</v>
      </c>
      <c r="X55" s="313"/>
      <c r="Y55" s="315"/>
      <c r="Z55" s="313" t="s">
        <v>568</v>
      </c>
      <c r="AA55" s="313"/>
      <c r="AB55" s="315"/>
      <c r="AC55" s="313" t="s">
        <v>568</v>
      </c>
      <c r="AD55" s="313"/>
      <c r="AE55" s="315"/>
      <c r="AF55" s="313" t="s">
        <v>568</v>
      </c>
      <c r="AG55" s="313"/>
      <c r="AH55" s="351"/>
      <c r="AI55" s="352" t="s">
        <v>568</v>
      </c>
      <c r="AJ55" s="352"/>
      <c r="AK55" s="351"/>
      <c r="AL55" s="352" t="s">
        <v>568</v>
      </c>
      <c r="AM55" s="352"/>
      <c r="AN55" s="351"/>
      <c r="AO55" s="352" t="s">
        <v>568</v>
      </c>
      <c r="AP55" s="352"/>
      <c r="BA55" s="334"/>
      <c r="BB55" s="334"/>
    </row>
    <row r="56" spans="1:55">
      <c r="A56" s="287"/>
      <c r="V56" s="274"/>
      <c r="BA56" s="334"/>
      <c r="BB56" s="334"/>
    </row>
    <row r="57" spans="1:55">
      <c r="A57" s="287"/>
      <c r="BA57" s="334"/>
      <c r="BB57" s="334"/>
    </row>
    <row r="58" spans="1:55">
      <c r="A58" s="287"/>
      <c r="B58" s="682"/>
      <c r="C58" s="682"/>
      <c r="E58" s="720"/>
      <c r="F58" s="720"/>
      <c r="H58" s="720"/>
      <c r="I58" s="720"/>
      <c r="K58" s="720"/>
      <c r="L58" s="720"/>
      <c r="N58" s="720"/>
      <c r="O58" s="720"/>
      <c r="Q58" s="720"/>
      <c r="R58" s="720"/>
      <c r="T58" s="720"/>
      <c r="U58" s="720"/>
      <c r="W58" s="720"/>
      <c r="X58" s="720"/>
      <c r="Z58" s="720"/>
      <c r="AA58" s="720"/>
      <c r="AC58" s="720"/>
      <c r="AD58" s="720"/>
      <c r="AF58" s="720"/>
      <c r="AG58" s="720"/>
      <c r="AI58" s="720"/>
      <c r="AJ58" s="720"/>
      <c r="AL58" s="720"/>
      <c r="AM58" s="720"/>
      <c r="AO58" s="720"/>
      <c r="AP58" s="720"/>
      <c r="BA58" s="334"/>
      <c r="BB58" s="334"/>
    </row>
    <row r="59" spans="1:55">
      <c r="A59" s="287"/>
      <c r="B59" s="293"/>
      <c r="C59" s="293"/>
      <c r="D59" s="306"/>
      <c r="E59" s="291"/>
      <c r="F59" s="293"/>
      <c r="G59" s="306"/>
      <c r="H59" s="291"/>
      <c r="I59" s="293"/>
      <c r="J59" s="306"/>
      <c r="K59" s="291"/>
      <c r="L59" s="293"/>
      <c r="M59" s="306"/>
      <c r="N59" s="291"/>
      <c r="O59" s="293"/>
      <c r="P59" s="306"/>
      <c r="Q59" s="291"/>
      <c r="R59" s="293"/>
      <c r="S59" s="306"/>
      <c r="T59" s="291"/>
      <c r="U59" s="293"/>
      <c r="V59" s="306"/>
      <c r="W59" s="291"/>
      <c r="X59" s="293"/>
      <c r="Y59" s="306"/>
      <c r="Z59" s="291"/>
      <c r="AA59" s="293"/>
      <c r="AB59" s="306"/>
      <c r="AC59" s="291"/>
      <c r="AD59" s="293"/>
      <c r="AE59" s="306"/>
      <c r="AF59" s="291"/>
      <c r="AG59" s="293"/>
      <c r="AH59" s="306"/>
      <c r="AI59" s="291"/>
      <c r="AJ59" s="293"/>
      <c r="AK59" s="306"/>
      <c r="AL59" s="291"/>
      <c r="AM59" s="293"/>
      <c r="AN59" s="306"/>
      <c r="AO59" s="291"/>
      <c r="AP59" s="293"/>
      <c r="AQ59" s="306"/>
      <c r="AR59" s="306"/>
      <c r="AS59" s="306"/>
      <c r="AT59" s="306"/>
      <c r="AU59" s="499"/>
      <c r="BA59" s="334"/>
      <c r="BB59" s="334"/>
    </row>
    <row r="60" spans="1:55">
      <c r="A60" s="287"/>
      <c r="B60" s="291"/>
      <c r="C60" s="291"/>
      <c r="D60" s="300"/>
      <c r="E60" s="291"/>
      <c r="F60" s="291"/>
      <c r="G60" s="300"/>
      <c r="H60" s="291"/>
      <c r="I60" s="291"/>
      <c r="J60" s="300"/>
      <c r="K60" s="291"/>
      <c r="L60" s="291"/>
      <c r="M60" s="300"/>
      <c r="N60" s="291"/>
      <c r="O60" s="291"/>
      <c r="P60" s="300"/>
      <c r="Q60" s="291"/>
      <c r="R60" s="291"/>
      <c r="S60" s="300"/>
      <c r="T60" s="291"/>
      <c r="U60" s="291"/>
      <c r="V60" s="300"/>
      <c r="W60" s="291"/>
      <c r="X60" s="291"/>
      <c r="Y60" s="300"/>
      <c r="Z60" s="291"/>
      <c r="AA60" s="291"/>
      <c r="AB60" s="300"/>
      <c r="AC60" s="291"/>
      <c r="AD60" s="291"/>
      <c r="AE60" s="300"/>
      <c r="AF60" s="291"/>
      <c r="AG60" s="291"/>
      <c r="AH60" s="300"/>
      <c r="AI60" s="291"/>
      <c r="AJ60" s="291"/>
      <c r="AK60" s="299"/>
      <c r="AL60" s="291"/>
      <c r="AM60" s="291"/>
      <c r="AN60" s="300"/>
      <c r="AO60" s="291"/>
      <c r="AP60" s="291"/>
      <c r="AQ60" s="300"/>
      <c r="AR60" s="300"/>
      <c r="AS60" s="300"/>
      <c r="AT60" s="300"/>
      <c r="AU60" s="300"/>
      <c r="AW60" s="281">
        <v>14</v>
      </c>
      <c r="AX60" s="281">
        <v>14</v>
      </c>
      <c r="AY60" s="281">
        <v>14</v>
      </c>
      <c r="AZ60" s="281">
        <v>14</v>
      </c>
      <c r="BA60" s="335">
        <f>SUM(D63:AQ63)/1000</f>
        <v>4.7963999999999993</v>
      </c>
      <c r="BB60" s="335">
        <f>BA60</f>
        <v>4.7963999999999993</v>
      </c>
      <c r="BC60" s="492"/>
    </row>
    <row r="61" spans="1:55">
      <c r="A61" s="287"/>
      <c r="B61" s="735" t="s">
        <v>156</v>
      </c>
      <c r="C61" s="726"/>
      <c r="D61" s="300"/>
      <c r="E61" s="727" t="s">
        <v>157</v>
      </c>
      <c r="F61" s="728"/>
      <c r="G61" s="300"/>
      <c r="H61" s="727" t="s">
        <v>158</v>
      </c>
      <c r="I61" s="728"/>
      <c r="J61" s="300"/>
      <c r="K61" s="727" t="s">
        <v>159</v>
      </c>
      <c r="L61" s="728"/>
      <c r="M61" s="300"/>
      <c r="N61" s="728" t="s">
        <v>161</v>
      </c>
      <c r="O61" s="728"/>
      <c r="P61" s="300"/>
      <c r="Q61" s="727" t="s">
        <v>162</v>
      </c>
      <c r="R61" s="728"/>
      <c r="S61" s="300"/>
      <c r="T61" s="728" t="s">
        <v>164</v>
      </c>
      <c r="U61" s="728"/>
      <c r="V61" s="300"/>
      <c r="W61" s="728" t="s">
        <v>166</v>
      </c>
      <c r="X61" s="728"/>
      <c r="Y61" s="300"/>
      <c r="Z61" s="727" t="s">
        <v>167</v>
      </c>
      <c r="AA61" s="728"/>
      <c r="AB61" s="300"/>
      <c r="AC61" s="728" t="s">
        <v>169</v>
      </c>
      <c r="AD61" s="728"/>
      <c r="AE61" s="300"/>
      <c r="AF61" s="727" t="s">
        <v>170</v>
      </c>
      <c r="AG61" s="728"/>
      <c r="AH61" s="300"/>
      <c r="AI61" s="733" t="s">
        <v>171</v>
      </c>
      <c r="AJ61" s="728"/>
      <c r="AK61" s="299"/>
      <c r="AL61" s="733" t="s">
        <v>172</v>
      </c>
      <c r="AM61" s="728"/>
      <c r="AN61" s="300"/>
      <c r="AO61" s="733" t="s">
        <v>173</v>
      </c>
      <c r="AP61" s="728"/>
      <c r="AQ61" s="300"/>
      <c r="AR61" s="300"/>
      <c r="AS61" s="300"/>
      <c r="AT61" s="300"/>
      <c r="AU61" s="300"/>
      <c r="BA61" s="334"/>
      <c r="BB61" s="334"/>
    </row>
    <row r="62" spans="1:55">
      <c r="A62" s="287"/>
      <c r="B62" s="726" t="s">
        <v>37</v>
      </c>
      <c r="C62" s="726"/>
      <c r="D62" s="299"/>
      <c r="E62" s="726" t="s">
        <v>85</v>
      </c>
      <c r="F62" s="726"/>
      <c r="G62" s="299"/>
      <c r="H62" s="726" t="s">
        <v>42</v>
      </c>
      <c r="I62" s="726"/>
      <c r="J62" s="299"/>
      <c r="K62" s="726" t="s">
        <v>37</v>
      </c>
      <c r="L62" s="726"/>
      <c r="M62" s="299"/>
      <c r="N62" s="726" t="s">
        <v>39</v>
      </c>
      <c r="O62" s="726"/>
      <c r="P62" s="299"/>
      <c r="Q62" s="726" t="s">
        <v>42</v>
      </c>
      <c r="R62" s="726"/>
      <c r="S62" s="299"/>
      <c r="T62" s="726" t="s">
        <v>34</v>
      </c>
      <c r="U62" s="726"/>
      <c r="V62" s="299"/>
      <c r="W62" s="726" t="s">
        <v>46</v>
      </c>
      <c r="X62" s="726"/>
      <c r="Y62" s="299"/>
      <c r="Z62" s="726" t="s">
        <v>37</v>
      </c>
      <c r="AA62" s="726"/>
      <c r="AB62" s="299"/>
      <c r="AC62" s="726" t="s">
        <v>46</v>
      </c>
      <c r="AD62" s="726"/>
      <c r="AE62" s="299"/>
      <c r="AF62" s="726" t="s">
        <v>76</v>
      </c>
      <c r="AG62" s="726"/>
      <c r="AH62" s="299"/>
      <c r="AI62" s="757" t="s">
        <v>56</v>
      </c>
      <c r="AJ62" s="726"/>
      <c r="AK62" s="299"/>
      <c r="AL62" s="757" t="s">
        <v>76</v>
      </c>
      <c r="AM62" s="726"/>
      <c r="AN62" s="299"/>
      <c r="AO62" s="757" t="s">
        <v>56</v>
      </c>
      <c r="AP62" s="726"/>
      <c r="BA62" s="334"/>
      <c r="BB62" s="334"/>
    </row>
    <row r="63" spans="1:55">
      <c r="A63" s="287"/>
      <c r="B63" s="298"/>
      <c r="C63" s="298"/>
      <c r="D63" s="299">
        <v>371.6</v>
      </c>
      <c r="E63" s="298"/>
      <c r="F63" s="298"/>
      <c r="G63" s="299">
        <v>365.9</v>
      </c>
      <c r="H63" s="298"/>
      <c r="I63" s="298"/>
      <c r="J63" s="299">
        <v>345.8</v>
      </c>
      <c r="K63" s="298"/>
      <c r="L63" s="298"/>
      <c r="M63" s="299">
        <v>299.3</v>
      </c>
      <c r="N63" s="298"/>
      <c r="O63" s="298"/>
      <c r="P63" s="299">
        <v>296</v>
      </c>
      <c r="Q63" s="298"/>
      <c r="R63" s="298"/>
      <c r="S63" s="299">
        <v>229.9</v>
      </c>
      <c r="T63" s="298"/>
      <c r="U63" s="298"/>
      <c r="V63" s="299">
        <v>356.3</v>
      </c>
      <c r="W63" s="298"/>
      <c r="X63" s="298"/>
      <c r="Y63" s="299">
        <v>314</v>
      </c>
      <c r="Z63" s="298"/>
      <c r="AA63" s="298"/>
      <c r="AB63" s="299">
        <v>353.6</v>
      </c>
      <c r="AC63" s="298"/>
      <c r="AD63" s="298"/>
      <c r="AE63" s="299">
        <v>362</v>
      </c>
      <c r="AF63" s="298"/>
      <c r="AG63" s="298"/>
      <c r="AH63" s="299">
        <v>387</v>
      </c>
      <c r="AI63" s="309"/>
      <c r="AJ63" s="298"/>
      <c r="AK63" s="299">
        <v>365</v>
      </c>
      <c r="AL63" s="309"/>
      <c r="AM63" s="298"/>
      <c r="AN63" s="299">
        <v>419</v>
      </c>
      <c r="AO63" s="309"/>
      <c r="AP63" s="298"/>
      <c r="AQ63" s="275">
        <v>331</v>
      </c>
      <c r="AU63" s="498">
        <f>SUM(D63:AQ63)</f>
        <v>4796.3999999999996</v>
      </c>
      <c r="BA63" s="332"/>
      <c r="BB63" s="332"/>
    </row>
    <row r="64" spans="1:55">
      <c r="A64" s="287"/>
      <c r="B64" s="352" t="s">
        <v>568</v>
      </c>
      <c r="C64" s="352"/>
      <c r="D64" s="351"/>
      <c r="E64" s="352" t="s">
        <v>568</v>
      </c>
      <c r="F64" s="352"/>
      <c r="G64" s="351"/>
      <c r="H64" s="352" t="s">
        <v>568</v>
      </c>
      <c r="I64" s="353"/>
      <c r="J64" s="351"/>
      <c r="K64" s="352" t="s">
        <v>568</v>
      </c>
      <c r="L64" s="353"/>
      <c r="M64" s="351"/>
      <c r="N64" s="352" t="s">
        <v>568</v>
      </c>
      <c r="O64" s="352"/>
      <c r="P64" s="351"/>
      <c r="Q64" s="320" t="s">
        <v>535</v>
      </c>
      <c r="R64" s="320"/>
      <c r="S64" s="319"/>
      <c r="T64" s="320" t="s">
        <v>535</v>
      </c>
      <c r="U64" s="320"/>
      <c r="V64" s="319"/>
      <c r="W64" s="320" t="s">
        <v>535</v>
      </c>
      <c r="X64" s="320"/>
      <c r="Y64" s="319"/>
      <c r="Z64" s="320" t="s">
        <v>535</v>
      </c>
      <c r="AA64" s="320"/>
      <c r="AB64" s="319"/>
      <c r="AC64" s="320" t="s">
        <v>535</v>
      </c>
      <c r="AD64" s="320"/>
      <c r="AE64" s="319"/>
      <c r="AF64" s="313" t="s">
        <v>535</v>
      </c>
      <c r="AG64" s="313"/>
      <c r="AH64" s="315"/>
      <c r="AI64" s="313" t="s">
        <v>535</v>
      </c>
      <c r="AJ64" s="313"/>
      <c r="AK64" s="315"/>
      <c r="AL64" s="313" t="s">
        <v>535</v>
      </c>
      <c r="AM64" s="313"/>
      <c r="AN64" s="315"/>
      <c r="AO64" s="313" t="s">
        <v>535</v>
      </c>
      <c r="AP64" s="313"/>
      <c r="AQ64" s="314"/>
      <c r="BA64" s="334"/>
      <c r="BB64" s="334"/>
    </row>
    <row r="65" spans="1:55">
      <c r="A65" s="287"/>
      <c r="BA65" s="334"/>
      <c r="BB65" s="334"/>
    </row>
    <row r="66" spans="1:55">
      <c r="A66" s="287"/>
      <c r="BA66" s="334"/>
      <c r="BB66" s="334"/>
    </row>
    <row r="67" spans="1:55">
      <c r="A67" s="287"/>
      <c r="B67" s="682"/>
      <c r="C67" s="682"/>
      <c r="E67" s="720"/>
      <c r="F67" s="720"/>
      <c r="H67" s="720"/>
      <c r="I67" s="720"/>
      <c r="K67" s="720"/>
      <c r="L67" s="720"/>
      <c r="N67" s="720"/>
      <c r="O67" s="720"/>
      <c r="Q67" s="720"/>
      <c r="R67" s="720"/>
      <c r="T67" s="720"/>
      <c r="U67" s="720"/>
      <c r="W67" s="720"/>
      <c r="X67" s="720"/>
      <c r="Z67" s="720"/>
      <c r="AA67" s="720"/>
      <c r="AC67" s="720"/>
      <c r="AD67" s="720"/>
      <c r="AF67" s="720"/>
      <c r="AG67" s="720"/>
      <c r="AI67" s="720"/>
      <c r="AJ67" s="720"/>
      <c r="AL67" s="720"/>
      <c r="AM67" s="720"/>
      <c r="AO67" s="720"/>
      <c r="AP67" s="720"/>
      <c r="BA67" s="334"/>
      <c r="BB67" s="334"/>
    </row>
    <row r="68" spans="1:55">
      <c r="A68" s="287"/>
      <c r="B68" s="291"/>
      <c r="C68" s="293"/>
      <c r="D68" s="306"/>
      <c r="E68" s="291"/>
      <c r="F68" s="293"/>
      <c r="G68" s="306"/>
      <c r="H68" s="291"/>
      <c r="I68" s="293"/>
      <c r="J68" s="306"/>
      <c r="K68" s="291"/>
      <c r="L68" s="293"/>
      <c r="M68" s="306"/>
      <c r="N68" s="291"/>
      <c r="O68" s="293"/>
      <c r="P68" s="306"/>
      <c r="Q68" s="291"/>
      <c r="R68" s="323"/>
      <c r="S68" s="306"/>
      <c r="T68" s="291"/>
      <c r="U68" s="323"/>
      <c r="V68" s="306"/>
      <c r="W68" s="291"/>
      <c r="X68" s="323"/>
      <c r="Y68" s="306"/>
      <c r="Z68" s="291"/>
      <c r="AA68" s="293"/>
      <c r="AB68" s="306"/>
      <c r="AC68" s="291"/>
      <c r="AD68" s="293"/>
      <c r="AE68" s="306"/>
      <c r="AF68" s="291"/>
      <c r="AG68" s="293"/>
      <c r="AH68" s="306"/>
      <c r="AI68" s="291"/>
      <c r="AJ68" s="293"/>
      <c r="AK68" s="306"/>
      <c r="AL68" s="291"/>
      <c r="AM68" s="323"/>
      <c r="AN68" s="306"/>
      <c r="AO68" s="291"/>
      <c r="AP68" s="323"/>
      <c r="AQ68" s="306"/>
      <c r="AR68" s="306"/>
      <c r="AS68" s="306"/>
      <c r="AT68" s="306"/>
      <c r="AU68" s="499"/>
      <c r="BA68" s="334"/>
      <c r="BB68" s="334"/>
    </row>
    <row r="69" spans="1:55">
      <c r="A69" s="287"/>
      <c r="B69" s="291"/>
      <c r="C69" s="291"/>
      <c r="D69" s="300"/>
      <c r="E69" s="291"/>
      <c r="F69" s="291"/>
      <c r="G69" s="300"/>
      <c r="H69" s="291"/>
      <c r="I69" s="291"/>
      <c r="J69" s="300"/>
      <c r="K69" s="291"/>
      <c r="L69" s="291"/>
      <c r="M69" s="300"/>
      <c r="N69" s="291"/>
      <c r="O69" s="291"/>
      <c r="P69" s="300"/>
      <c r="Q69" s="291"/>
      <c r="R69" s="291"/>
      <c r="S69" s="300"/>
      <c r="T69" s="291"/>
      <c r="U69" s="291"/>
      <c r="V69" s="300"/>
      <c r="W69" s="291"/>
      <c r="X69" s="291"/>
      <c r="Y69" s="299"/>
      <c r="Z69" s="291"/>
      <c r="AA69" s="291"/>
      <c r="AB69" s="299"/>
      <c r="AC69" s="291"/>
      <c r="AD69" s="291"/>
      <c r="AE69" s="300"/>
      <c r="AF69" s="291"/>
      <c r="AG69" s="291"/>
      <c r="AH69" s="300"/>
      <c r="AI69" s="291"/>
      <c r="AJ69" s="291"/>
      <c r="AK69" s="300"/>
      <c r="AL69" s="291"/>
      <c r="AM69" s="291"/>
      <c r="AO69" s="291"/>
      <c r="AP69" s="291"/>
      <c r="AW69" s="281">
        <v>14</v>
      </c>
      <c r="AX69" s="281">
        <v>14</v>
      </c>
      <c r="AY69" s="281">
        <v>14</v>
      </c>
      <c r="AZ69" s="281">
        <v>14</v>
      </c>
      <c r="BA69" s="335">
        <f>SUM(D72:AQ72)/1000</f>
        <v>4.9181999999999997</v>
      </c>
      <c r="BB69" s="335">
        <f>BA69</f>
        <v>4.9181999999999997</v>
      </c>
      <c r="BC69" s="492"/>
    </row>
    <row r="70" spans="1:55">
      <c r="A70" s="287"/>
      <c r="B70" s="760" t="s">
        <v>174</v>
      </c>
      <c r="C70" s="726"/>
      <c r="D70" s="300"/>
      <c r="E70" s="760" t="s">
        <v>175</v>
      </c>
      <c r="F70" s="726"/>
      <c r="G70" s="300"/>
      <c r="H70" s="733" t="s">
        <v>176</v>
      </c>
      <c r="I70" s="761"/>
      <c r="J70" s="300"/>
      <c r="K70" s="733" t="s">
        <v>177</v>
      </c>
      <c r="L70" s="761"/>
      <c r="M70" s="300"/>
      <c r="N70" s="727" t="s">
        <v>178</v>
      </c>
      <c r="O70" s="728"/>
      <c r="P70" s="300"/>
      <c r="Q70" s="728" t="s">
        <v>180</v>
      </c>
      <c r="R70" s="728"/>
      <c r="S70" s="300"/>
      <c r="T70" s="727" t="s">
        <v>181</v>
      </c>
      <c r="U70" s="728"/>
      <c r="V70" s="300"/>
      <c r="W70" s="733" t="s">
        <v>182</v>
      </c>
      <c r="X70" s="761"/>
      <c r="Y70" s="299"/>
      <c r="Z70" s="727" t="s">
        <v>183</v>
      </c>
      <c r="AA70" s="728"/>
      <c r="AB70" s="299"/>
      <c r="AC70" s="727" t="s">
        <v>184</v>
      </c>
      <c r="AD70" s="728"/>
      <c r="AE70" s="300"/>
      <c r="AF70" s="727" t="s">
        <v>185</v>
      </c>
      <c r="AG70" s="728"/>
      <c r="AH70" s="300"/>
      <c r="AI70" s="727" t="s">
        <v>186</v>
      </c>
      <c r="AJ70" s="728"/>
      <c r="AK70" s="300"/>
      <c r="AL70" s="727" t="s">
        <v>187</v>
      </c>
      <c r="AM70" s="728"/>
      <c r="AO70" s="758" t="s">
        <v>188</v>
      </c>
      <c r="AP70" s="759"/>
      <c r="BA70" s="334"/>
      <c r="BB70" s="334"/>
    </row>
    <row r="71" spans="1:55">
      <c r="A71" s="287"/>
      <c r="B71" s="757" t="s">
        <v>42</v>
      </c>
      <c r="C71" s="726"/>
      <c r="D71" s="299"/>
      <c r="E71" s="757" t="s">
        <v>37</v>
      </c>
      <c r="F71" s="726"/>
      <c r="G71" s="299"/>
      <c r="H71" s="757" t="s">
        <v>42</v>
      </c>
      <c r="I71" s="757"/>
      <c r="J71" s="299"/>
      <c r="K71" s="757" t="s">
        <v>37</v>
      </c>
      <c r="L71" s="757"/>
      <c r="M71" s="299"/>
      <c r="N71" s="726" t="s">
        <v>42</v>
      </c>
      <c r="O71" s="726"/>
      <c r="P71" s="299"/>
      <c r="Q71" s="726" t="s">
        <v>34</v>
      </c>
      <c r="R71" s="726"/>
      <c r="S71" s="299"/>
      <c r="T71" s="726" t="s">
        <v>37</v>
      </c>
      <c r="U71" s="726"/>
      <c r="V71" s="299"/>
      <c r="W71" s="757" t="s">
        <v>42</v>
      </c>
      <c r="X71" s="757"/>
      <c r="Y71" s="299"/>
      <c r="Z71" s="726" t="s">
        <v>42</v>
      </c>
      <c r="AA71" s="726"/>
      <c r="AB71" s="299"/>
      <c r="AC71" s="726" t="s">
        <v>56</v>
      </c>
      <c r="AD71" s="726"/>
      <c r="AE71" s="300"/>
      <c r="AF71" s="726" t="s">
        <v>37</v>
      </c>
      <c r="AG71" s="726"/>
      <c r="AH71" s="300"/>
      <c r="AI71" s="726" t="s">
        <v>42</v>
      </c>
      <c r="AJ71" s="726"/>
      <c r="AL71" s="745" t="s">
        <v>37</v>
      </c>
      <c r="AM71" s="745"/>
      <c r="AN71" s="299"/>
      <c r="AO71" s="745" t="s">
        <v>42</v>
      </c>
      <c r="AP71" s="745"/>
      <c r="AQ71" s="301"/>
      <c r="AR71" s="301"/>
      <c r="AS71" s="301"/>
      <c r="AT71" s="301"/>
      <c r="AU71" s="299"/>
      <c r="BA71" s="334"/>
      <c r="BB71" s="334"/>
    </row>
    <row r="72" spans="1:55">
      <c r="A72" s="287"/>
      <c r="B72" s="309"/>
      <c r="C72" s="298"/>
      <c r="D72" s="299">
        <v>390</v>
      </c>
      <c r="E72" s="309"/>
      <c r="F72" s="298"/>
      <c r="G72" s="299">
        <v>349</v>
      </c>
      <c r="H72" s="309"/>
      <c r="I72" s="309"/>
      <c r="J72" s="299">
        <v>324</v>
      </c>
      <c r="K72" s="309"/>
      <c r="L72" s="309"/>
      <c r="M72" s="299">
        <v>413</v>
      </c>
      <c r="N72" s="298"/>
      <c r="O72" s="298"/>
      <c r="P72" s="299">
        <v>310.2</v>
      </c>
      <c r="Q72" s="298"/>
      <c r="R72" s="298"/>
      <c r="S72" s="299">
        <v>379</v>
      </c>
      <c r="T72" s="298"/>
      <c r="U72" s="298"/>
      <c r="V72" s="299">
        <v>304</v>
      </c>
      <c r="W72" s="309"/>
      <c r="X72" s="309"/>
      <c r="Y72" s="299">
        <v>333</v>
      </c>
      <c r="Z72" s="298"/>
      <c r="AA72" s="298"/>
      <c r="AB72" s="299">
        <v>363</v>
      </c>
      <c r="AC72" s="298"/>
      <c r="AD72" s="298"/>
      <c r="AE72" s="300">
        <v>384</v>
      </c>
      <c r="AF72" s="298"/>
      <c r="AG72" s="298"/>
      <c r="AH72" s="300">
        <v>361</v>
      </c>
      <c r="AI72" s="298"/>
      <c r="AJ72" s="298"/>
      <c r="AK72" s="275">
        <v>311</v>
      </c>
      <c r="AL72" s="299"/>
      <c r="AM72" s="299"/>
      <c r="AN72" s="299">
        <v>381</v>
      </c>
      <c r="AO72" s="299"/>
      <c r="AP72" s="299"/>
      <c r="AQ72" s="301">
        <v>316</v>
      </c>
      <c r="AR72" s="301"/>
      <c r="AS72" s="301"/>
      <c r="AT72" s="301"/>
      <c r="AU72" s="299">
        <f>SUM(D72:AQ72)</f>
        <v>4918.2</v>
      </c>
      <c r="BA72" s="332"/>
      <c r="BB72" s="332"/>
    </row>
    <row r="73" spans="1:55">
      <c r="A73" s="287"/>
      <c r="B73" s="313" t="s">
        <v>535</v>
      </c>
      <c r="C73" s="313"/>
      <c r="D73" s="315"/>
      <c r="E73" s="313" t="s">
        <v>535</v>
      </c>
      <c r="F73" s="318"/>
      <c r="G73" s="315"/>
      <c r="H73" s="320" t="s">
        <v>535</v>
      </c>
      <c r="I73" s="322"/>
      <c r="J73" s="319"/>
      <c r="K73" s="320" t="s">
        <v>535</v>
      </c>
      <c r="L73" s="322"/>
      <c r="M73" s="319"/>
      <c r="N73" s="320" t="s">
        <v>535</v>
      </c>
      <c r="O73" s="320"/>
      <c r="P73" s="319"/>
      <c r="Q73" s="320" t="s">
        <v>535</v>
      </c>
      <c r="R73" s="320"/>
      <c r="S73" s="319"/>
      <c r="T73" s="320" t="s">
        <v>535</v>
      </c>
      <c r="U73" s="320"/>
      <c r="V73" s="319"/>
      <c r="W73" s="320" t="s">
        <v>535</v>
      </c>
      <c r="X73" s="320"/>
      <c r="Y73" s="319"/>
      <c r="Z73" s="320" t="s">
        <v>535</v>
      </c>
      <c r="AA73" s="320"/>
      <c r="AB73" s="319"/>
      <c r="AC73" s="320" t="s">
        <v>535</v>
      </c>
      <c r="AD73" s="320"/>
      <c r="AE73" s="319"/>
      <c r="AF73" s="320" t="s">
        <v>535</v>
      </c>
      <c r="AG73" s="320"/>
      <c r="AH73" s="319"/>
      <c r="AI73" s="320" t="s">
        <v>535</v>
      </c>
      <c r="AJ73" s="320"/>
      <c r="AK73" s="319"/>
      <c r="AL73" s="320" t="s">
        <v>535</v>
      </c>
      <c r="AM73" s="320"/>
      <c r="AN73" s="319"/>
      <c r="AO73" s="320" t="s">
        <v>535</v>
      </c>
      <c r="AP73" s="319"/>
      <c r="AQ73" s="301"/>
      <c r="AR73" s="301"/>
      <c r="AS73" s="301"/>
      <c r="AT73" s="301"/>
      <c r="AU73" s="299"/>
      <c r="BA73" s="334"/>
      <c r="BB73" s="334"/>
    </row>
    <row r="74" spans="1:55">
      <c r="A74" s="287"/>
      <c r="BA74" s="334"/>
      <c r="BB74" s="334"/>
    </row>
    <row r="75" spans="1:55">
      <c r="A75" s="287"/>
      <c r="BA75" s="334"/>
      <c r="BB75" s="334"/>
    </row>
    <row r="76" spans="1:55">
      <c r="A76" s="287"/>
      <c r="B76" s="682"/>
      <c r="C76" s="682"/>
      <c r="E76" s="720"/>
      <c r="F76" s="720"/>
      <c r="H76" s="720"/>
      <c r="I76" s="720"/>
      <c r="K76" s="720"/>
      <c r="L76" s="720"/>
      <c r="N76" s="720"/>
      <c r="O76" s="720"/>
      <c r="Q76" s="720"/>
      <c r="R76" s="720"/>
      <c r="T76" s="720"/>
      <c r="U76" s="720"/>
      <c r="W76" s="720"/>
      <c r="X76" s="720"/>
      <c r="Z76" s="720"/>
      <c r="AA76" s="720"/>
      <c r="AC76" s="720"/>
      <c r="AD76" s="720"/>
      <c r="AF76" s="720"/>
      <c r="AG76" s="720"/>
      <c r="AI76" s="720"/>
      <c r="AJ76" s="720"/>
      <c r="AL76" s="720"/>
      <c r="AM76" s="720"/>
      <c r="AO76" s="720"/>
      <c r="AP76" s="720"/>
      <c r="BA76" s="334"/>
      <c r="BB76" s="334"/>
    </row>
    <row r="77" spans="1:55">
      <c r="A77" s="287"/>
      <c r="B77" s="291"/>
      <c r="C77" s="323"/>
      <c r="D77" s="306"/>
      <c r="E77" s="291"/>
      <c r="F77" s="323"/>
      <c r="G77" s="306"/>
      <c r="H77" s="291"/>
      <c r="I77" s="323"/>
      <c r="J77" s="288"/>
      <c r="K77" s="323"/>
      <c r="L77" s="323"/>
      <c r="M77" s="306"/>
      <c r="N77" s="323"/>
      <c r="O77" s="323"/>
      <c r="P77" s="288"/>
      <c r="Q77" s="323"/>
      <c r="R77" s="323"/>
      <c r="S77" s="306"/>
      <c r="T77" s="323"/>
      <c r="U77" s="323"/>
      <c r="V77" s="306"/>
      <c r="W77" s="291"/>
      <c r="X77" s="323"/>
      <c r="Y77" s="306"/>
      <c r="Z77" s="291"/>
      <c r="AA77" s="291"/>
      <c r="AB77" s="306"/>
      <c r="AC77" s="323"/>
      <c r="AD77" s="323"/>
      <c r="AE77" s="306"/>
      <c r="AF77" s="291"/>
      <c r="AG77" s="323"/>
      <c r="AH77" s="306"/>
      <c r="AI77" s="291"/>
      <c r="AJ77" s="323"/>
      <c r="AK77" s="306"/>
      <c r="AL77" s="291"/>
      <c r="AM77" s="323"/>
      <c r="AN77" s="306"/>
      <c r="AO77" s="291"/>
      <c r="AP77" s="323"/>
      <c r="AQ77" s="306"/>
      <c r="AR77" s="306"/>
      <c r="AS77" s="306"/>
      <c r="AT77" s="306"/>
      <c r="AU77" s="499"/>
      <c r="BA77" s="334"/>
      <c r="BB77" s="334"/>
    </row>
    <row r="78" spans="1:55">
      <c r="A78" s="287"/>
      <c r="B78" s="323"/>
      <c r="C78" s="323"/>
      <c r="D78" s="300"/>
      <c r="E78" s="323"/>
      <c r="F78" s="323"/>
      <c r="G78" s="300"/>
      <c r="H78" s="323"/>
      <c r="I78" s="323"/>
      <c r="J78" s="299"/>
      <c r="K78" s="323"/>
      <c r="L78" s="323"/>
      <c r="M78" s="299"/>
      <c r="N78" s="323"/>
      <c r="O78" s="323"/>
      <c r="P78" s="300"/>
      <c r="Q78" s="323"/>
      <c r="R78" s="323"/>
      <c r="S78" s="300"/>
      <c r="T78" s="291"/>
      <c r="U78" s="291"/>
      <c r="V78" s="300"/>
      <c r="W78" s="291"/>
      <c r="X78" s="291"/>
      <c r="Y78" s="299"/>
      <c r="Z78" s="291"/>
      <c r="AA78" s="291"/>
      <c r="AB78" s="299"/>
      <c r="AC78" s="291"/>
      <c r="AD78" s="323"/>
      <c r="AE78" s="300"/>
      <c r="AF78" s="291"/>
      <c r="AG78" s="291"/>
      <c r="AH78" s="299"/>
      <c r="AI78" s="291"/>
      <c r="AJ78" s="291"/>
      <c r="AK78" s="300"/>
      <c r="AL78" s="291"/>
      <c r="AM78" s="291"/>
      <c r="AN78" s="300"/>
      <c r="AO78" s="291"/>
      <c r="AP78" s="291"/>
      <c r="AQ78" s="300"/>
      <c r="AR78" s="300"/>
      <c r="AS78" s="300"/>
      <c r="AT78" s="300"/>
      <c r="AU78" s="300"/>
      <c r="AW78" s="281">
        <v>14</v>
      </c>
      <c r="AX78" s="281">
        <v>14</v>
      </c>
      <c r="AY78" s="281">
        <v>14</v>
      </c>
      <c r="AZ78" s="281">
        <v>14</v>
      </c>
      <c r="BA78" s="335">
        <f>SUM(D81:AQ81)/1000</f>
        <v>4.8324999999999996</v>
      </c>
      <c r="BB78" s="335">
        <v>4.8324999999999996</v>
      </c>
      <c r="BC78" s="492"/>
    </row>
    <row r="79" spans="1:55">
      <c r="A79" s="287"/>
      <c r="B79" s="727" t="s">
        <v>189</v>
      </c>
      <c r="C79" s="728"/>
      <c r="D79" s="300"/>
      <c r="E79" s="728" t="s">
        <v>191</v>
      </c>
      <c r="F79" s="728"/>
      <c r="G79" s="300"/>
      <c r="H79" s="727" t="s">
        <v>192</v>
      </c>
      <c r="I79" s="728"/>
      <c r="J79" s="299"/>
      <c r="K79" s="727" t="s">
        <v>193</v>
      </c>
      <c r="L79" s="728"/>
      <c r="M79" s="299"/>
      <c r="N79" s="727" t="s">
        <v>194</v>
      </c>
      <c r="O79" s="728"/>
      <c r="P79" s="300"/>
      <c r="Q79" s="728" t="s">
        <v>196</v>
      </c>
      <c r="R79" s="728"/>
      <c r="S79" s="300"/>
      <c r="T79" s="727" t="s">
        <v>197</v>
      </c>
      <c r="U79" s="728"/>
      <c r="V79" s="300"/>
      <c r="W79" s="727" t="s">
        <v>198</v>
      </c>
      <c r="X79" s="728"/>
      <c r="Y79" s="299"/>
      <c r="Z79" s="727" t="s">
        <v>199</v>
      </c>
      <c r="AA79" s="728"/>
      <c r="AB79" s="299"/>
      <c r="AC79" s="728" t="s">
        <v>201</v>
      </c>
      <c r="AD79" s="728"/>
      <c r="AE79" s="300"/>
      <c r="AF79" s="727" t="s">
        <v>202</v>
      </c>
      <c r="AG79" s="728"/>
      <c r="AH79" s="299"/>
      <c r="AI79" s="727" t="s">
        <v>203</v>
      </c>
      <c r="AJ79" s="728"/>
      <c r="AK79" s="300"/>
      <c r="AL79" s="727" t="s">
        <v>204</v>
      </c>
      <c r="AM79" s="728"/>
      <c r="AN79" s="300"/>
      <c r="AO79" s="727" t="s">
        <v>205</v>
      </c>
      <c r="AP79" s="728"/>
      <c r="AQ79" s="300"/>
      <c r="AR79" s="300"/>
      <c r="AS79" s="300"/>
      <c r="AT79" s="300"/>
      <c r="AU79" s="300"/>
      <c r="BA79" s="334"/>
      <c r="BB79" s="334"/>
    </row>
    <row r="80" spans="1:55">
      <c r="A80" s="287"/>
      <c r="B80" s="726" t="s">
        <v>42</v>
      </c>
      <c r="C80" s="726"/>
      <c r="E80" s="726" t="s">
        <v>39</v>
      </c>
      <c r="F80" s="726"/>
      <c r="G80" s="299"/>
      <c r="H80" s="726" t="s">
        <v>37</v>
      </c>
      <c r="I80" s="726"/>
      <c r="J80" s="299"/>
      <c r="K80" s="726" t="s">
        <v>37</v>
      </c>
      <c r="L80" s="726"/>
      <c r="M80" s="299"/>
      <c r="N80" s="726" t="s">
        <v>37</v>
      </c>
      <c r="O80" s="726"/>
      <c r="P80" s="299"/>
      <c r="Q80" s="726" t="s">
        <v>46</v>
      </c>
      <c r="R80" s="726"/>
      <c r="S80" s="299"/>
      <c r="T80" s="726" t="s">
        <v>56</v>
      </c>
      <c r="U80" s="726"/>
      <c r="V80" s="299"/>
      <c r="W80" s="726" t="s">
        <v>37</v>
      </c>
      <c r="X80" s="726"/>
      <c r="Y80" s="299"/>
      <c r="Z80" s="726" t="s">
        <v>56</v>
      </c>
      <c r="AA80" s="726"/>
      <c r="AB80" s="299"/>
      <c r="AC80" s="726" t="s">
        <v>39</v>
      </c>
      <c r="AD80" s="726"/>
      <c r="AE80" s="299"/>
      <c r="AF80" s="726" t="s">
        <v>42</v>
      </c>
      <c r="AG80" s="726"/>
      <c r="AH80" s="299"/>
      <c r="AI80" s="726" t="s">
        <v>37</v>
      </c>
      <c r="AJ80" s="726"/>
      <c r="AK80" s="299"/>
      <c r="AL80" s="726" t="s">
        <v>42</v>
      </c>
      <c r="AM80" s="726"/>
      <c r="AN80" s="299"/>
      <c r="AO80" s="726" t="s">
        <v>42</v>
      </c>
      <c r="AP80" s="726"/>
      <c r="BA80" s="334"/>
      <c r="BB80" s="334"/>
    </row>
    <row r="81" spans="1:55">
      <c r="A81" s="287"/>
      <c r="B81" s="298"/>
      <c r="C81" s="298"/>
      <c r="D81" s="275">
        <v>290.5</v>
      </c>
      <c r="E81" s="298"/>
      <c r="F81" s="298"/>
      <c r="G81" s="299">
        <v>306</v>
      </c>
      <c r="H81" s="298"/>
      <c r="I81" s="298"/>
      <c r="J81" s="299">
        <v>336</v>
      </c>
      <c r="K81" s="298"/>
      <c r="L81" s="298"/>
      <c r="M81" s="299">
        <v>337</v>
      </c>
      <c r="N81" s="298"/>
      <c r="O81" s="298"/>
      <c r="P81" s="299">
        <v>328.6</v>
      </c>
      <c r="Q81" s="298"/>
      <c r="R81" s="298"/>
      <c r="S81" s="299">
        <v>362</v>
      </c>
      <c r="T81" s="298"/>
      <c r="U81" s="298"/>
      <c r="V81" s="299">
        <v>364</v>
      </c>
      <c r="W81" s="298"/>
      <c r="X81" s="298"/>
      <c r="Y81" s="299">
        <v>388</v>
      </c>
      <c r="Z81" s="298"/>
      <c r="AA81" s="298"/>
      <c r="AB81" s="299">
        <v>322</v>
      </c>
      <c r="AC81" s="298"/>
      <c r="AD81" s="298"/>
      <c r="AE81" s="299">
        <v>365.5</v>
      </c>
      <c r="AF81" s="298"/>
      <c r="AG81" s="298"/>
      <c r="AH81" s="299">
        <v>374</v>
      </c>
      <c r="AI81" s="298"/>
      <c r="AJ81" s="298"/>
      <c r="AK81" s="299">
        <v>356.1</v>
      </c>
      <c r="AL81" s="298"/>
      <c r="AM81" s="298"/>
      <c r="AN81" s="299">
        <v>349.7</v>
      </c>
      <c r="AO81" s="298"/>
      <c r="AP81" s="298"/>
      <c r="AQ81" s="275">
        <v>353.1</v>
      </c>
      <c r="AU81" s="498">
        <f>SUM(D81:AQ81)</f>
        <v>4832.5</v>
      </c>
      <c r="BA81" s="332"/>
      <c r="BB81" s="332"/>
    </row>
    <row r="82" spans="1:55">
      <c r="A82" s="287"/>
      <c r="B82" s="320" t="s">
        <v>535</v>
      </c>
      <c r="C82" s="320"/>
      <c r="D82" s="319"/>
      <c r="E82" s="320" t="s">
        <v>535</v>
      </c>
      <c r="F82" s="322"/>
      <c r="G82" s="319"/>
      <c r="H82" s="320" t="s">
        <v>535</v>
      </c>
      <c r="I82" s="322"/>
      <c r="J82" s="319"/>
      <c r="K82" s="320" t="s">
        <v>535</v>
      </c>
      <c r="L82" s="322"/>
      <c r="M82" s="319"/>
      <c r="N82" s="320" t="s">
        <v>535</v>
      </c>
      <c r="O82" s="320"/>
      <c r="P82" s="319"/>
      <c r="Q82" s="320" t="s">
        <v>535</v>
      </c>
      <c r="R82" s="320"/>
      <c r="S82" s="319"/>
      <c r="T82" s="320" t="s">
        <v>535</v>
      </c>
      <c r="U82" s="320"/>
      <c r="V82" s="319"/>
      <c r="W82" s="320" t="s">
        <v>535</v>
      </c>
      <c r="X82" s="320"/>
      <c r="Y82" s="319"/>
      <c r="Z82" s="320" t="s">
        <v>535</v>
      </c>
      <c r="AA82" s="320"/>
      <c r="AB82" s="319"/>
      <c r="AC82" s="320" t="s">
        <v>535</v>
      </c>
      <c r="AD82" s="320"/>
      <c r="AE82" s="319"/>
      <c r="AF82" s="320" t="s">
        <v>535</v>
      </c>
      <c r="AG82" s="320"/>
      <c r="AH82" s="319"/>
      <c r="AI82" s="320" t="s">
        <v>535</v>
      </c>
      <c r="AJ82" s="320"/>
      <c r="AK82" s="319"/>
      <c r="AL82" s="320" t="s">
        <v>535</v>
      </c>
      <c r="AM82" s="320"/>
      <c r="AN82" s="319"/>
      <c r="AO82" s="320" t="s">
        <v>535</v>
      </c>
      <c r="AP82" s="320"/>
      <c r="BA82" s="334"/>
      <c r="BB82" s="334"/>
    </row>
    <row r="83" spans="1:55">
      <c r="A83" s="287"/>
      <c r="B83" s="275"/>
      <c r="BA83" s="334"/>
      <c r="BB83" s="334"/>
    </row>
    <row r="84" spans="1:55">
      <c r="A84" s="287"/>
      <c r="H84" s="275"/>
      <c r="BA84" s="334"/>
      <c r="BB84" s="334"/>
    </row>
    <row r="85" spans="1:55">
      <c r="A85" s="287"/>
      <c r="B85" s="682"/>
      <c r="C85" s="682"/>
      <c r="E85" s="720"/>
      <c r="F85" s="720"/>
      <c r="H85" s="720"/>
      <c r="I85" s="720"/>
      <c r="K85" s="763"/>
      <c r="L85" s="720"/>
      <c r="N85" s="763"/>
      <c r="O85" s="720"/>
      <c r="Q85" s="763"/>
      <c r="R85" s="720"/>
      <c r="T85" s="763"/>
      <c r="U85" s="720"/>
      <c r="W85" s="720"/>
      <c r="X85" s="720"/>
      <c r="Z85" s="720"/>
      <c r="AA85" s="720"/>
      <c r="AC85" s="720"/>
      <c r="AD85" s="720"/>
      <c r="AF85" s="720"/>
      <c r="AG85" s="720"/>
      <c r="AI85" s="720"/>
      <c r="AJ85" s="720"/>
      <c r="AL85" s="720"/>
      <c r="AM85" s="720"/>
      <c r="AO85" s="720"/>
      <c r="AP85" s="720"/>
      <c r="BA85" s="334"/>
      <c r="BB85" s="334"/>
    </row>
    <row r="86" spans="1:55">
      <c r="A86" s="287"/>
      <c r="B86" s="323"/>
      <c r="C86" s="323"/>
      <c r="D86" s="306"/>
      <c r="E86" s="323"/>
      <c r="F86" s="323"/>
      <c r="G86" s="306"/>
      <c r="H86" s="323"/>
      <c r="I86" s="323"/>
      <c r="J86" s="306"/>
      <c r="K86" s="291"/>
      <c r="L86" s="293"/>
      <c r="M86" s="306"/>
      <c r="N86" s="323"/>
      <c r="O86" s="323"/>
      <c r="P86" s="306"/>
      <c r="Q86" s="291"/>
      <c r="R86" s="291"/>
      <c r="S86" s="306"/>
      <c r="T86" s="291"/>
      <c r="U86" s="293"/>
      <c r="V86" s="306"/>
      <c r="W86" s="291"/>
      <c r="X86" s="291"/>
      <c r="Y86" s="306"/>
      <c r="Z86" s="291"/>
      <c r="AA86" s="291"/>
      <c r="AB86" s="306"/>
      <c r="AC86" s="291"/>
      <c r="AD86" s="293"/>
      <c r="AE86" s="306"/>
      <c r="AF86" s="291"/>
      <c r="AG86" s="293"/>
      <c r="AH86" s="306"/>
      <c r="AI86" s="291"/>
      <c r="AJ86" s="293"/>
      <c r="AK86" s="306"/>
      <c r="AL86" s="291"/>
      <c r="AM86" s="293"/>
      <c r="AN86" s="306"/>
      <c r="AO86" s="291"/>
      <c r="AP86" s="323"/>
      <c r="AQ86" s="306"/>
      <c r="AR86" s="306"/>
      <c r="AS86" s="306"/>
      <c r="AT86" s="306"/>
      <c r="AU86" s="499"/>
      <c r="BA86" s="334"/>
      <c r="BB86" s="334"/>
    </row>
    <row r="87" spans="1:55">
      <c r="A87" s="287"/>
      <c r="B87" s="323"/>
      <c r="C87" s="291"/>
      <c r="D87" s="300"/>
      <c r="E87" s="323"/>
      <c r="F87" s="291"/>
      <c r="G87" s="300"/>
      <c r="H87" s="323"/>
      <c r="I87" s="291"/>
      <c r="J87" s="299"/>
      <c r="K87" s="291"/>
      <c r="L87" s="291"/>
      <c r="M87" s="299"/>
      <c r="N87" s="323"/>
      <c r="O87" s="291"/>
      <c r="P87" s="300"/>
      <c r="Q87" s="291"/>
      <c r="R87" s="291"/>
      <c r="S87" s="299"/>
      <c r="T87" s="291"/>
      <c r="U87" s="291"/>
      <c r="V87" s="300"/>
      <c r="W87" s="291"/>
      <c r="X87" s="291"/>
      <c r="Y87" s="300"/>
      <c r="Z87" s="291"/>
      <c r="AA87" s="291"/>
      <c r="AB87" s="300"/>
      <c r="AC87" s="291"/>
      <c r="AD87" s="291"/>
      <c r="AE87" s="300"/>
      <c r="AF87" s="291"/>
      <c r="AG87" s="291"/>
      <c r="AH87" s="300"/>
      <c r="AI87" s="291"/>
      <c r="AJ87" s="291"/>
      <c r="AK87" s="300"/>
      <c r="AL87" s="291"/>
      <c r="AM87" s="291"/>
      <c r="AN87" s="299"/>
      <c r="AO87" s="291"/>
      <c r="AP87" s="291"/>
      <c r="AQ87" s="300"/>
      <c r="AR87" s="300"/>
      <c r="AS87" s="300"/>
      <c r="AT87" s="300"/>
      <c r="AU87" s="300"/>
      <c r="AW87" s="281">
        <v>14</v>
      </c>
      <c r="AX87" s="281">
        <v>14</v>
      </c>
      <c r="AY87" s="281">
        <v>14</v>
      </c>
      <c r="AZ87" s="281">
        <v>14</v>
      </c>
      <c r="BA87" s="335">
        <f>SUM(D90:AQ90)/1000</f>
        <v>4.6801999999999992</v>
      </c>
      <c r="BB87" s="335">
        <v>4.6802000000000001</v>
      </c>
      <c r="BC87" s="492"/>
    </row>
    <row r="88" spans="1:55">
      <c r="A88" s="287"/>
      <c r="B88" s="735" t="s">
        <v>206</v>
      </c>
      <c r="C88" s="726"/>
      <c r="D88" s="300"/>
      <c r="E88" s="727" t="s">
        <v>207</v>
      </c>
      <c r="F88" s="728"/>
      <c r="G88" s="300"/>
      <c r="H88" s="727" t="s">
        <v>208</v>
      </c>
      <c r="I88" s="728"/>
      <c r="J88" s="299"/>
      <c r="K88" s="727" t="s">
        <v>209</v>
      </c>
      <c r="L88" s="728"/>
      <c r="M88" s="299"/>
      <c r="N88" s="727" t="s">
        <v>210</v>
      </c>
      <c r="O88" s="728"/>
      <c r="P88" s="300"/>
      <c r="Q88" s="727" t="s">
        <v>211</v>
      </c>
      <c r="R88" s="728"/>
      <c r="S88" s="299"/>
      <c r="T88" s="727" t="s">
        <v>212</v>
      </c>
      <c r="U88" s="728"/>
      <c r="V88" s="300"/>
      <c r="W88" s="728" t="s">
        <v>214</v>
      </c>
      <c r="X88" s="728"/>
      <c r="Y88" s="300"/>
      <c r="Z88" s="727" t="s">
        <v>215</v>
      </c>
      <c r="AA88" s="728"/>
      <c r="AB88" s="300"/>
      <c r="AC88" s="727" t="s">
        <v>216</v>
      </c>
      <c r="AD88" s="728"/>
      <c r="AE88" s="300"/>
      <c r="AF88" s="727" t="s">
        <v>217</v>
      </c>
      <c r="AG88" s="728"/>
      <c r="AH88" s="300"/>
      <c r="AI88" s="727" t="s">
        <v>218</v>
      </c>
      <c r="AJ88" s="728"/>
      <c r="AK88" s="300"/>
      <c r="AL88" s="727" t="s">
        <v>219</v>
      </c>
      <c r="AM88" s="728"/>
      <c r="AN88" s="299"/>
      <c r="AO88" s="728" t="s">
        <v>221</v>
      </c>
      <c r="AP88" s="728"/>
      <c r="AQ88" s="300"/>
      <c r="AR88" s="300"/>
      <c r="AS88" s="300"/>
      <c r="AT88" s="300"/>
      <c r="AU88" s="300"/>
      <c r="BA88" s="334"/>
      <c r="BB88" s="334"/>
    </row>
    <row r="89" spans="1:55">
      <c r="A89" s="287"/>
      <c r="B89" s="726" t="s">
        <v>37</v>
      </c>
      <c r="C89" s="726"/>
      <c r="D89" s="299"/>
      <c r="E89" s="726" t="s">
        <v>37</v>
      </c>
      <c r="F89" s="726"/>
      <c r="G89" s="300"/>
      <c r="H89" s="726" t="s">
        <v>56</v>
      </c>
      <c r="I89" s="726"/>
      <c r="J89" s="299"/>
      <c r="K89" s="726" t="s">
        <v>37</v>
      </c>
      <c r="L89" s="726"/>
      <c r="M89" s="299"/>
      <c r="N89" s="726" t="s">
        <v>37</v>
      </c>
      <c r="O89" s="726"/>
      <c r="P89" s="324"/>
      <c r="Q89" s="726" t="s">
        <v>37</v>
      </c>
      <c r="R89" s="726"/>
      <c r="S89" s="299"/>
      <c r="T89" s="726" t="s">
        <v>37</v>
      </c>
      <c r="U89" s="726"/>
      <c r="V89" s="299"/>
      <c r="W89" s="726" t="s">
        <v>89</v>
      </c>
      <c r="X89" s="726"/>
      <c r="Y89" s="299"/>
      <c r="Z89" s="726" t="s">
        <v>42</v>
      </c>
      <c r="AA89" s="726"/>
      <c r="AB89" s="299"/>
      <c r="AC89" s="726" t="s">
        <v>37</v>
      </c>
      <c r="AD89" s="726"/>
      <c r="AE89" s="300"/>
      <c r="AF89" s="726" t="s">
        <v>37</v>
      </c>
      <c r="AG89" s="726"/>
      <c r="AH89" s="299"/>
      <c r="AI89" s="726" t="s">
        <v>42</v>
      </c>
      <c r="AJ89" s="726"/>
      <c r="AK89" s="299"/>
      <c r="AL89" s="726" t="s">
        <v>42</v>
      </c>
      <c r="AM89" s="726"/>
      <c r="AN89" s="299"/>
      <c r="AO89" s="726" t="s">
        <v>76</v>
      </c>
      <c r="AP89" s="726"/>
      <c r="BA89" s="334"/>
      <c r="BB89" s="334"/>
    </row>
    <row r="90" spans="1:55">
      <c r="A90" s="287"/>
      <c r="B90" s="298"/>
      <c r="C90" s="298"/>
      <c r="D90" s="299">
        <v>374.2</v>
      </c>
      <c r="E90" s="298"/>
      <c r="F90" s="298"/>
      <c r="G90" s="300">
        <v>341.3</v>
      </c>
      <c r="H90" s="298"/>
      <c r="I90" s="298"/>
      <c r="J90" s="299">
        <v>348</v>
      </c>
      <c r="K90" s="298"/>
      <c r="L90" s="298"/>
      <c r="M90" s="299">
        <v>384</v>
      </c>
      <c r="N90" s="298"/>
      <c r="O90" s="298"/>
      <c r="P90" s="324">
        <v>269.7</v>
      </c>
      <c r="Q90" s="298"/>
      <c r="R90" s="298"/>
      <c r="S90" s="299">
        <v>394</v>
      </c>
      <c r="T90" s="298"/>
      <c r="U90" s="298"/>
      <c r="V90" s="299">
        <v>300.60000000000002</v>
      </c>
      <c r="W90" s="298"/>
      <c r="X90" s="298"/>
      <c r="Y90" s="299">
        <v>315.39999999999998</v>
      </c>
      <c r="Z90" s="298"/>
      <c r="AA90" s="298"/>
      <c r="AB90" s="299">
        <v>329.6</v>
      </c>
      <c r="AC90" s="298"/>
      <c r="AD90" s="298"/>
      <c r="AE90" s="300">
        <v>383</v>
      </c>
      <c r="AF90" s="298"/>
      <c r="AG90" s="298"/>
      <c r="AH90" s="299">
        <v>323.7</v>
      </c>
      <c r="AI90" s="298"/>
      <c r="AJ90" s="298"/>
      <c r="AK90" s="299">
        <v>328.8</v>
      </c>
      <c r="AL90" s="298"/>
      <c r="AM90" s="298"/>
      <c r="AN90" s="299">
        <v>266</v>
      </c>
      <c r="AO90" s="298"/>
      <c r="AP90" s="298"/>
      <c r="AQ90" s="275">
        <v>321.89999999999998</v>
      </c>
      <c r="AU90" s="498">
        <f>SUM(D90:AQ90)</f>
        <v>4680.1999999999989</v>
      </c>
      <c r="BA90" s="332"/>
      <c r="BB90" s="332"/>
    </row>
    <row r="91" spans="1:55">
      <c r="A91" s="287"/>
      <c r="B91" s="320" t="s">
        <v>535</v>
      </c>
      <c r="C91" s="320"/>
      <c r="D91" s="319"/>
      <c r="E91" s="320" t="s">
        <v>535</v>
      </c>
      <c r="F91" s="322"/>
      <c r="G91" s="319"/>
      <c r="H91" s="320" t="s">
        <v>535</v>
      </c>
      <c r="I91" s="322"/>
      <c r="J91" s="319"/>
      <c r="K91" s="320" t="s">
        <v>535</v>
      </c>
      <c r="L91" s="322"/>
      <c r="M91" s="319"/>
      <c r="N91" s="320" t="s">
        <v>535</v>
      </c>
      <c r="O91" s="320"/>
      <c r="P91" s="319"/>
      <c r="Q91" s="320" t="s">
        <v>535</v>
      </c>
      <c r="R91" s="320"/>
      <c r="S91" s="319"/>
      <c r="T91" s="320" t="s">
        <v>535</v>
      </c>
      <c r="U91" s="320"/>
      <c r="V91" s="319"/>
      <c r="W91" s="320" t="s">
        <v>535</v>
      </c>
      <c r="X91" s="320"/>
      <c r="Y91" s="319"/>
      <c r="Z91" s="320" t="s">
        <v>535</v>
      </c>
      <c r="AA91" s="320"/>
      <c r="AB91" s="319"/>
      <c r="AC91" s="320" t="s">
        <v>535</v>
      </c>
      <c r="AD91" s="320"/>
      <c r="AE91" s="319"/>
      <c r="AF91" s="320" t="s">
        <v>535</v>
      </c>
      <c r="AG91" s="320"/>
      <c r="AH91" s="319"/>
      <c r="AI91" s="320" t="s">
        <v>535</v>
      </c>
      <c r="AJ91" s="320"/>
      <c r="AK91" s="319"/>
      <c r="AL91" s="320" t="s">
        <v>535</v>
      </c>
      <c r="AM91" s="320"/>
      <c r="AN91" s="319"/>
      <c r="AO91" s="320" t="s">
        <v>535</v>
      </c>
      <c r="AP91" s="320"/>
      <c r="BA91" s="334"/>
      <c r="BB91" s="334"/>
    </row>
    <row r="92" spans="1:55">
      <c r="A92" s="287"/>
      <c r="BA92" s="334"/>
      <c r="BB92" s="334"/>
    </row>
    <row r="93" spans="1:55">
      <c r="A93" s="287"/>
      <c r="M93" s="274"/>
      <c r="Y93" s="274"/>
      <c r="BA93" s="334"/>
      <c r="BB93" s="334"/>
    </row>
    <row r="94" spans="1:55">
      <c r="A94" s="287"/>
      <c r="B94" s="682"/>
      <c r="C94" s="682"/>
      <c r="E94" s="720"/>
      <c r="F94" s="720"/>
      <c r="H94" s="720"/>
      <c r="I94" s="720"/>
      <c r="K94" s="720"/>
      <c r="L94" s="720"/>
      <c r="N94" s="720"/>
      <c r="O94" s="720"/>
      <c r="Q94" s="762"/>
      <c r="R94" s="720"/>
      <c r="T94" s="720"/>
      <c r="U94" s="720"/>
      <c r="W94" s="720"/>
      <c r="X94" s="720"/>
      <c r="Z94" s="720"/>
      <c r="AA94" s="720"/>
      <c r="AC94" s="720"/>
      <c r="AD94" s="720"/>
      <c r="AF94" s="720"/>
      <c r="AG94" s="720"/>
      <c r="AI94" s="720"/>
      <c r="AJ94" s="720"/>
      <c r="AL94" s="720"/>
      <c r="AM94" s="720"/>
      <c r="AO94" s="720"/>
      <c r="AP94" s="720"/>
      <c r="BA94" s="334"/>
      <c r="BB94" s="334"/>
    </row>
    <row r="95" spans="1:55">
      <c r="A95" s="287"/>
      <c r="B95" s="323"/>
      <c r="C95" s="323"/>
      <c r="D95" s="306"/>
      <c r="E95" s="323"/>
      <c r="F95" s="323"/>
      <c r="G95" s="306"/>
      <c r="H95" s="323"/>
      <c r="I95" s="323"/>
      <c r="J95" s="306"/>
      <c r="K95" s="291"/>
      <c r="L95" s="323"/>
      <c r="M95" s="306"/>
      <c r="N95" s="291"/>
      <c r="O95" s="323"/>
      <c r="P95" s="306"/>
      <c r="Q95" s="291"/>
      <c r="R95" s="323"/>
      <c r="S95" s="306"/>
      <c r="T95" s="291"/>
      <c r="U95" s="323"/>
      <c r="V95" s="288"/>
      <c r="W95" s="291"/>
      <c r="X95" s="323"/>
      <c r="Y95" s="306"/>
      <c r="Z95" s="291"/>
      <c r="AA95" s="323"/>
      <c r="AB95" s="306"/>
      <c r="AC95" s="291"/>
      <c r="AD95" s="293"/>
      <c r="AE95" s="306"/>
      <c r="AF95" s="291"/>
      <c r="AG95" s="293"/>
      <c r="AH95" s="306"/>
      <c r="AI95" s="291"/>
      <c r="AJ95" s="293"/>
      <c r="AK95" s="306"/>
      <c r="AL95" s="291"/>
      <c r="AM95" s="293"/>
      <c r="AN95" s="306"/>
      <c r="AO95" s="291"/>
      <c r="AP95" s="293"/>
      <c r="AQ95" s="306"/>
      <c r="AR95" s="306"/>
      <c r="AS95" s="306"/>
      <c r="AT95" s="306"/>
      <c r="AU95" s="499"/>
      <c r="BA95" s="334"/>
      <c r="BB95" s="334"/>
    </row>
    <row r="96" spans="1:55">
      <c r="A96" s="287"/>
      <c r="B96" s="291"/>
      <c r="C96" s="323"/>
      <c r="D96" s="300"/>
      <c r="E96" s="291"/>
      <c r="F96" s="323"/>
      <c r="G96" s="300"/>
      <c r="H96" s="291"/>
      <c r="I96" s="323"/>
      <c r="J96" s="300"/>
      <c r="K96" s="291"/>
      <c r="L96" s="291"/>
      <c r="M96" s="300"/>
      <c r="N96" s="291"/>
      <c r="O96" s="291"/>
      <c r="P96" s="300"/>
      <c r="Q96" s="291"/>
      <c r="R96" s="291"/>
      <c r="S96" s="300"/>
      <c r="T96" s="291"/>
      <c r="U96" s="291"/>
      <c r="V96" s="300"/>
      <c r="W96" s="291"/>
      <c r="X96" s="291"/>
      <c r="Y96" s="300"/>
      <c r="Z96" s="291"/>
      <c r="AA96" s="291"/>
      <c r="AB96" s="300"/>
      <c r="AC96" s="291"/>
      <c r="AD96" s="293"/>
      <c r="AE96" s="300"/>
      <c r="AF96" s="291"/>
      <c r="AG96" s="291"/>
      <c r="AH96" s="300"/>
      <c r="AI96" s="291"/>
      <c r="AJ96" s="291"/>
      <c r="AK96" s="300"/>
      <c r="AL96" s="291"/>
      <c r="AM96" s="291"/>
      <c r="AN96" s="300"/>
      <c r="AO96" s="291"/>
      <c r="AP96" s="291"/>
      <c r="AQ96" s="300"/>
      <c r="AR96" s="300"/>
      <c r="AS96" s="300"/>
      <c r="AT96" s="300"/>
      <c r="AU96" s="300"/>
      <c r="AW96" s="281">
        <v>14</v>
      </c>
      <c r="AX96" s="281">
        <v>14</v>
      </c>
      <c r="AY96" s="281">
        <v>14</v>
      </c>
      <c r="AZ96" s="281">
        <v>14</v>
      </c>
      <c r="BA96" s="335">
        <f>SUM(D99:AQ99)/1000</f>
        <v>4.7541000000000002</v>
      </c>
      <c r="BB96" s="335">
        <v>4.7541000000000002</v>
      </c>
      <c r="BC96" s="492"/>
    </row>
    <row r="97" spans="1:55">
      <c r="A97" s="287"/>
      <c r="B97" s="735" t="s">
        <v>222</v>
      </c>
      <c r="C97" s="726"/>
      <c r="D97" s="300"/>
      <c r="E97" s="727" t="s">
        <v>223</v>
      </c>
      <c r="F97" s="728"/>
      <c r="G97" s="300"/>
      <c r="H97" s="727" t="s">
        <v>224</v>
      </c>
      <c r="I97" s="728"/>
      <c r="J97" s="300"/>
      <c r="K97" s="727" t="s">
        <v>225</v>
      </c>
      <c r="L97" s="728"/>
      <c r="M97" s="300"/>
      <c r="N97" s="727" t="s">
        <v>226</v>
      </c>
      <c r="O97" s="728"/>
      <c r="P97" s="300"/>
      <c r="Q97" s="727" t="s">
        <v>227</v>
      </c>
      <c r="R97" s="728"/>
      <c r="S97" s="300"/>
      <c r="T97" s="727" t="s">
        <v>228</v>
      </c>
      <c r="U97" s="728"/>
      <c r="V97" s="300"/>
      <c r="W97" s="727" t="s">
        <v>229</v>
      </c>
      <c r="X97" s="728"/>
      <c r="Y97" s="300"/>
      <c r="Z97" s="728" t="s">
        <v>231</v>
      </c>
      <c r="AA97" s="728"/>
      <c r="AB97" s="300"/>
      <c r="AC97" s="727" t="s">
        <v>232</v>
      </c>
      <c r="AD97" s="728"/>
      <c r="AE97" s="300"/>
      <c r="AF97" s="727" t="s">
        <v>233</v>
      </c>
      <c r="AG97" s="728"/>
      <c r="AH97" s="300"/>
      <c r="AI97" s="727" t="s">
        <v>234</v>
      </c>
      <c r="AJ97" s="728"/>
      <c r="AK97" s="300"/>
      <c r="AL97" s="727" t="s">
        <v>235</v>
      </c>
      <c r="AM97" s="728"/>
      <c r="AN97" s="300"/>
      <c r="AO97" s="727" t="s">
        <v>236</v>
      </c>
      <c r="AP97" s="728"/>
      <c r="AQ97" s="300"/>
      <c r="AR97" s="300"/>
      <c r="AS97" s="300"/>
      <c r="AT97" s="300"/>
      <c r="AU97" s="300"/>
      <c r="BA97" s="334"/>
      <c r="BB97" s="334"/>
    </row>
    <row r="98" spans="1:55">
      <c r="A98" s="287"/>
      <c r="B98" s="726" t="s">
        <v>42</v>
      </c>
      <c r="C98" s="726"/>
      <c r="D98" s="299"/>
      <c r="E98" s="726" t="s">
        <v>37</v>
      </c>
      <c r="F98" s="726"/>
      <c r="G98" s="299"/>
      <c r="H98" s="726" t="s">
        <v>42</v>
      </c>
      <c r="I98" s="726"/>
      <c r="J98" s="299"/>
      <c r="K98" s="726" t="s">
        <v>42</v>
      </c>
      <c r="L98" s="726"/>
      <c r="M98" s="300"/>
      <c r="N98" s="726" t="s">
        <v>42</v>
      </c>
      <c r="O98" s="726"/>
      <c r="P98" s="299"/>
      <c r="Q98" s="726" t="s">
        <v>37</v>
      </c>
      <c r="R98" s="726"/>
      <c r="S98" s="299"/>
      <c r="T98" s="726" t="s">
        <v>37</v>
      </c>
      <c r="U98" s="726"/>
      <c r="V98" s="299"/>
      <c r="W98" s="726" t="s">
        <v>37</v>
      </c>
      <c r="X98" s="726"/>
      <c r="Y98" s="299"/>
      <c r="Z98" s="726" t="s">
        <v>76</v>
      </c>
      <c r="AA98" s="726"/>
      <c r="AB98" s="299"/>
      <c r="AC98" s="726" t="s">
        <v>37</v>
      </c>
      <c r="AD98" s="726"/>
      <c r="AE98" s="299"/>
      <c r="AF98" s="726" t="s">
        <v>37</v>
      </c>
      <c r="AG98" s="726"/>
      <c r="AH98" s="299"/>
      <c r="AI98" s="726" t="s">
        <v>37</v>
      </c>
      <c r="AJ98" s="726"/>
      <c r="AK98" s="299"/>
      <c r="AL98" s="726" t="s">
        <v>42</v>
      </c>
      <c r="AM98" s="726"/>
      <c r="AN98" s="299"/>
      <c r="AO98" s="726" t="s">
        <v>37</v>
      </c>
      <c r="AP98" s="726"/>
      <c r="BA98" s="334"/>
      <c r="BB98" s="334"/>
    </row>
    <row r="99" spans="1:55">
      <c r="A99" s="287"/>
      <c r="B99" s="298"/>
      <c r="C99" s="298"/>
      <c r="D99" s="299">
        <v>352.1</v>
      </c>
      <c r="E99" s="298"/>
      <c r="F99" s="298"/>
      <c r="G99" s="299">
        <v>347.3</v>
      </c>
      <c r="H99" s="298"/>
      <c r="I99" s="298"/>
      <c r="J99" s="299">
        <v>339.4</v>
      </c>
      <c r="K99" s="298"/>
      <c r="L99" s="298"/>
      <c r="M99" s="300">
        <v>330.9</v>
      </c>
      <c r="N99" s="298"/>
      <c r="O99" s="298"/>
      <c r="P99" s="299">
        <v>280</v>
      </c>
      <c r="Q99" s="298"/>
      <c r="R99" s="298"/>
      <c r="S99" s="299">
        <v>369.5</v>
      </c>
      <c r="T99" s="298"/>
      <c r="U99" s="298"/>
      <c r="V99" s="299">
        <v>360.6</v>
      </c>
      <c r="W99" s="298"/>
      <c r="X99" s="298"/>
      <c r="Y99" s="299">
        <v>293</v>
      </c>
      <c r="Z99" s="298"/>
      <c r="AA99" s="298"/>
      <c r="AB99" s="299">
        <v>345.9</v>
      </c>
      <c r="AC99" s="298"/>
      <c r="AD99" s="298"/>
      <c r="AE99" s="299">
        <v>310.89999999999998</v>
      </c>
      <c r="AF99" s="298"/>
      <c r="AG99" s="298"/>
      <c r="AH99" s="299">
        <v>380</v>
      </c>
      <c r="AI99" s="298"/>
      <c r="AJ99" s="298"/>
      <c r="AK99" s="299">
        <v>358.2</v>
      </c>
      <c r="AL99" s="298"/>
      <c r="AM99" s="298"/>
      <c r="AN99" s="299">
        <v>311.10000000000002</v>
      </c>
      <c r="AO99" s="298"/>
      <c r="AP99" s="298"/>
      <c r="AQ99" s="275">
        <v>375.2</v>
      </c>
      <c r="AU99" s="498">
        <f>SUM(D99:AQ99)</f>
        <v>4754.1000000000004</v>
      </c>
      <c r="BA99" s="332"/>
      <c r="BB99" s="332"/>
    </row>
    <row r="100" spans="1:55">
      <c r="A100" s="287"/>
      <c r="B100" s="320" t="s">
        <v>535</v>
      </c>
      <c r="C100" s="320"/>
      <c r="D100" s="319"/>
      <c r="E100" s="320" t="s">
        <v>535</v>
      </c>
      <c r="F100" s="322"/>
      <c r="G100" s="319"/>
      <c r="H100" s="320" t="s">
        <v>535</v>
      </c>
      <c r="I100" s="322"/>
      <c r="J100" s="319"/>
      <c r="K100" s="320" t="s">
        <v>535</v>
      </c>
      <c r="L100" s="322"/>
      <c r="M100" s="319"/>
      <c r="N100" s="320" t="s">
        <v>535</v>
      </c>
      <c r="O100" s="320"/>
      <c r="P100" s="319"/>
      <c r="Q100" s="320" t="s">
        <v>535</v>
      </c>
      <c r="R100" s="320"/>
      <c r="S100" s="319"/>
      <c r="T100" s="320" t="s">
        <v>535</v>
      </c>
      <c r="U100" s="320"/>
      <c r="V100" s="319"/>
      <c r="W100" s="320" t="s">
        <v>535</v>
      </c>
      <c r="X100" s="320"/>
      <c r="Y100" s="319"/>
      <c r="Z100" s="320" t="s">
        <v>535</v>
      </c>
      <c r="AA100" s="320"/>
      <c r="AB100" s="319"/>
      <c r="AC100" s="320" t="s">
        <v>535</v>
      </c>
      <c r="AD100" s="320"/>
      <c r="AE100" s="319"/>
      <c r="AF100" s="320" t="s">
        <v>535</v>
      </c>
      <c r="AG100" s="320"/>
      <c r="AH100" s="319"/>
      <c r="AI100" s="320" t="s">
        <v>535</v>
      </c>
      <c r="AJ100" s="320"/>
      <c r="AK100" s="319"/>
      <c r="AL100" s="320" t="s">
        <v>535</v>
      </c>
      <c r="AM100" s="320"/>
      <c r="AN100" s="319"/>
      <c r="AO100" s="320" t="s">
        <v>535</v>
      </c>
      <c r="AP100" s="320"/>
      <c r="BA100" s="334"/>
      <c r="BB100" s="334"/>
    </row>
    <row r="101" spans="1:55">
      <c r="A101" s="287"/>
      <c r="BA101" s="334"/>
      <c r="BB101" s="334"/>
    </row>
    <row r="102" spans="1:55">
      <c r="A102" s="287"/>
      <c r="BA102" s="334"/>
      <c r="BB102" s="334"/>
    </row>
    <row r="103" spans="1:55">
      <c r="A103" s="287"/>
      <c r="B103" s="720"/>
      <c r="C103" s="720"/>
      <c r="E103" s="720"/>
      <c r="F103" s="720"/>
      <c r="H103" s="720"/>
      <c r="I103" s="720"/>
      <c r="K103" s="720"/>
      <c r="L103" s="720"/>
      <c r="N103" s="720"/>
      <c r="O103" s="720"/>
      <c r="Q103" s="720"/>
      <c r="R103" s="720"/>
      <c r="T103" s="720"/>
      <c r="U103" s="720"/>
      <c r="W103" s="720"/>
      <c r="X103" s="720"/>
      <c r="Z103" s="720"/>
      <c r="AA103" s="720"/>
      <c r="AC103" s="720"/>
      <c r="AD103" s="720"/>
      <c r="AF103" s="720"/>
      <c r="AG103" s="720"/>
      <c r="AI103" s="720"/>
      <c r="AJ103" s="720"/>
      <c r="AL103" s="720"/>
      <c r="AM103" s="720"/>
      <c r="AN103" s="306"/>
      <c r="AO103" s="720"/>
      <c r="AP103" s="720"/>
      <c r="BA103" s="334"/>
      <c r="BB103" s="334"/>
    </row>
    <row r="104" spans="1:55">
      <c r="A104" s="287"/>
      <c r="B104" s="293"/>
      <c r="C104" s="293"/>
      <c r="D104" s="306"/>
      <c r="E104" s="291"/>
      <c r="F104" s="293"/>
      <c r="G104" s="306"/>
      <c r="H104" s="291"/>
      <c r="I104" s="293"/>
      <c r="J104" s="306"/>
      <c r="K104" s="291"/>
      <c r="L104" s="293"/>
      <c r="M104" s="306"/>
      <c r="N104" s="291"/>
      <c r="O104" s="293"/>
      <c r="P104" s="306"/>
      <c r="Q104" s="291"/>
      <c r="R104" s="293"/>
      <c r="S104" s="306"/>
      <c r="T104" s="291"/>
      <c r="U104" s="293"/>
      <c r="V104" s="306"/>
      <c r="W104" s="291"/>
      <c r="X104" s="293"/>
      <c r="Y104" s="306"/>
      <c r="Z104" s="291"/>
      <c r="AA104" s="293"/>
      <c r="AB104" s="306"/>
      <c r="AC104" s="291"/>
      <c r="AD104" s="323"/>
      <c r="AE104" s="306"/>
      <c r="AF104" s="291"/>
      <c r="AG104" s="293"/>
      <c r="AH104" s="306"/>
      <c r="AI104" s="291"/>
      <c r="AJ104" s="293"/>
      <c r="AK104" s="306"/>
      <c r="AL104" s="291"/>
      <c r="AM104" s="293"/>
      <c r="AO104" s="291"/>
      <c r="AP104" s="293"/>
      <c r="AQ104" s="306"/>
      <c r="AR104" s="306"/>
      <c r="AS104" s="306"/>
      <c r="AT104" s="306"/>
      <c r="AU104" s="499"/>
      <c r="BA104" s="334"/>
      <c r="BB104" s="334"/>
    </row>
    <row r="105" spans="1:55">
      <c r="A105" s="287"/>
      <c r="B105" s="317"/>
      <c r="C105" s="317"/>
      <c r="D105" s="300"/>
      <c r="E105" s="317"/>
      <c r="F105" s="317"/>
      <c r="G105" s="299"/>
      <c r="H105" s="317"/>
      <c r="I105" s="317"/>
      <c r="J105" s="300"/>
      <c r="K105" s="317"/>
      <c r="L105" s="317"/>
      <c r="M105" s="300"/>
      <c r="N105" s="317"/>
      <c r="O105" s="317"/>
      <c r="P105" s="300"/>
      <c r="Q105" s="317"/>
      <c r="R105" s="317"/>
      <c r="S105" s="299"/>
      <c r="T105" s="317"/>
      <c r="U105" s="317"/>
      <c r="V105" s="300"/>
      <c r="W105" s="317"/>
      <c r="X105" s="317"/>
      <c r="Y105" s="300"/>
      <c r="Z105" s="317"/>
      <c r="AA105" s="317"/>
      <c r="AB105" s="300"/>
      <c r="AC105" s="291"/>
      <c r="AD105" s="291"/>
      <c r="AE105" s="300"/>
      <c r="AF105" s="317"/>
      <c r="AG105" s="293"/>
      <c r="AH105" s="300"/>
      <c r="AI105" s="317"/>
      <c r="AJ105" s="293"/>
      <c r="AK105" s="300"/>
      <c r="AL105" s="317"/>
      <c r="AM105" s="293"/>
      <c r="AN105" s="300"/>
      <c r="AO105" s="317"/>
      <c r="AP105" s="293"/>
      <c r="AQ105" s="300"/>
      <c r="AR105" s="300"/>
      <c r="AS105" s="300"/>
      <c r="AT105" s="300"/>
      <c r="AU105" s="300"/>
      <c r="AW105" s="281">
        <v>14</v>
      </c>
      <c r="AX105" s="281">
        <v>14</v>
      </c>
      <c r="AY105" s="281">
        <v>14</v>
      </c>
      <c r="AZ105" s="281">
        <v>14</v>
      </c>
      <c r="BA105" s="335">
        <f>SUM(D108:AQ108)/1000</f>
        <v>4.7088000000000001</v>
      </c>
      <c r="BB105" s="335">
        <f>BA105</f>
        <v>4.7088000000000001</v>
      </c>
      <c r="BC105" s="492"/>
    </row>
    <row r="106" spans="1:55">
      <c r="A106" s="287"/>
      <c r="B106" s="727" t="s">
        <v>237</v>
      </c>
      <c r="C106" s="728"/>
      <c r="D106" s="300"/>
      <c r="E106" s="727" t="s">
        <v>238</v>
      </c>
      <c r="F106" s="728"/>
      <c r="G106" s="299"/>
      <c r="H106" s="727" t="s">
        <v>239</v>
      </c>
      <c r="I106" s="728"/>
      <c r="J106" s="300"/>
      <c r="K106" s="727" t="s">
        <v>240</v>
      </c>
      <c r="L106" s="728"/>
      <c r="M106" s="300"/>
      <c r="N106" s="727" t="s">
        <v>241</v>
      </c>
      <c r="O106" s="728"/>
      <c r="P106" s="300"/>
      <c r="Q106" s="727" t="s">
        <v>242</v>
      </c>
      <c r="R106" s="728"/>
      <c r="S106" s="299"/>
      <c r="T106" s="727" t="s">
        <v>243</v>
      </c>
      <c r="U106" s="728"/>
      <c r="V106" s="300"/>
      <c r="W106" s="728" t="s">
        <v>244</v>
      </c>
      <c r="X106" s="728"/>
      <c r="Y106" s="300"/>
      <c r="Z106" s="728" t="s">
        <v>246</v>
      </c>
      <c r="AA106" s="728"/>
      <c r="AB106" s="300"/>
      <c r="AC106" s="727" t="s">
        <v>247</v>
      </c>
      <c r="AD106" s="728"/>
      <c r="AE106" s="300"/>
      <c r="AF106" s="727" t="s">
        <v>248</v>
      </c>
      <c r="AG106" s="728"/>
      <c r="AH106" s="300"/>
      <c r="AI106" s="728" t="s">
        <v>250</v>
      </c>
      <c r="AJ106" s="728"/>
      <c r="AK106" s="300" t="s">
        <v>0</v>
      </c>
      <c r="AL106" s="727" t="s">
        <v>251</v>
      </c>
      <c r="AM106" s="728"/>
      <c r="AN106" s="300" t="s">
        <v>0</v>
      </c>
      <c r="AO106" s="727" t="s">
        <v>252</v>
      </c>
      <c r="AP106" s="728"/>
      <c r="AQ106" s="300" t="s">
        <v>0</v>
      </c>
      <c r="AR106" s="300"/>
      <c r="AS106" s="300"/>
      <c r="AT106" s="300"/>
      <c r="AU106" s="300"/>
      <c r="BA106" s="334"/>
      <c r="BB106" s="334"/>
    </row>
    <row r="107" spans="1:55">
      <c r="A107" s="287"/>
      <c r="B107" s="726" t="s">
        <v>37</v>
      </c>
      <c r="C107" s="726"/>
      <c r="D107" s="299"/>
      <c r="E107" s="726" t="s">
        <v>37</v>
      </c>
      <c r="F107" s="726"/>
      <c r="G107" s="299"/>
      <c r="H107" s="726" t="s">
        <v>37</v>
      </c>
      <c r="I107" s="726"/>
      <c r="J107" s="299"/>
      <c r="K107" s="726" t="s">
        <v>42</v>
      </c>
      <c r="L107" s="726"/>
      <c r="M107" s="299"/>
      <c r="N107" s="726" t="s">
        <v>37</v>
      </c>
      <c r="O107" s="726"/>
      <c r="P107" s="299"/>
      <c r="Q107" s="726" t="s">
        <v>42</v>
      </c>
      <c r="R107" s="726"/>
      <c r="S107" s="299"/>
      <c r="T107" s="726" t="s">
        <v>37</v>
      </c>
      <c r="U107" s="726"/>
      <c r="V107" s="299"/>
      <c r="W107" s="726" t="s">
        <v>37</v>
      </c>
      <c r="X107" s="726"/>
      <c r="Y107" s="299"/>
      <c r="Z107" s="726" t="s">
        <v>46</v>
      </c>
      <c r="AA107" s="726"/>
      <c r="AB107" s="299"/>
      <c r="AC107" s="726" t="s">
        <v>37</v>
      </c>
      <c r="AD107" s="726"/>
      <c r="AE107" s="299"/>
      <c r="AF107" s="726" t="s">
        <v>37</v>
      </c>
      <c r="AG107" s="726"/>
      <c r="AH107" s="299"/>
      <c r="AI107" s="726" t="s">
        <v>39</v>
      </c>
      <c r="AJ107" s="726"/>
      <c r="AK107" s="299"/>
      <c r="AL107" s="726" t="s">
        <v>42</v>
      </c>
      <c r="AM107" s="726"/>
      <c r="AN107" s="299"/>
      <c r="AO107" s="726" t="s">
        <v>42</v>
      </c>
      <c r="AP107" s="726"/>
      <c r="AQ107" s="299"/>
      <c r="AR107" s="299"/>
      <c r="AS107" s="299"/>
      <c r="AT107" s="299"/>
      <c r="AU107" s="299"/>
      <c r="BA107" s="334"/>
      <c r="BB107" s="334"/>
    </row>
    <row r="108" spans="1:55">
      <c r="A108" s="287"/>
      <c r="B108" s="298"/>
      <c r="C108" s="298"/>
      <c r="D108" s="299">
        <v>369.1</v>
      </c>
      <c r="E108" s="298"/>
      <c r="F108" s="298"/>
      <c r="G108" s="299">
        <v>371</v>
      </c>
      <c r="H108" s="298"/>
      <c r="I108" s="298"/>
      <c r="J108" s="299">
        <v>356.5</v>
      </c>
      <c r="K108" s="298"/>
      <c r="L108" s="298"/>
      <c r="M108" s="299">
        <v>363.3</v>
      </c>
      <c r="N108" s="298"/>
      <c r="O108" s="298"/>
      <c r="P108" s="299">
        <v>370.3</v>
      </c>
      <c r="Q108" s="298"/>
      <c r="R108" s="298"/>
      <c r="S108" s="299">
        <v>330</v>
      </c>
      <c r="T108" s="298"/>
      <c r="U108" s="298"/>
      <c r="V108" s="299">
        <v>390.1</v>
      </c>
      <c r="W108" s="298"/>
      <c r="X108" s="298"/>
      <c r="Y108" s="299">
        <v>343.4</v>
      </c>
      <c r="Z108" s="298"/>
      <c r="AA108" s="298"/>
      <c r="AB108" s="299">
        <v>326.5</v>
      </c>
      <c r="AC108" s="298"/>
      <c r="AD108" s="298"/>
      <c r="AE108" s="299">
        <v>302.5</v>
      </c>
      <c r="AF108" s="298"/>
      <c r="AG108" s="298"/>
      <c r="AH108" s="299">
        <v>318.2</v>
      </c>
      <c r="AI108" s="298"/>
      <c r="AJ108" s="298"/>
      <c r="AK108" s="299">
        <v>315.5</v>
      </c>
      <c r="AL108" s="298"/>
      <c r="AM108" s="298"/>
      <c r="AN108" s="299">
        <v>249.3</v>
      </c>
      <c r="AO108" s="298"/>
      <c r="AP108" s="298"/>
      <c r="AQ108" s="299">
        <v>303.10000000000002</v>
      </c>
      <c r="AR108" s="299"/>
      <c r="AS108" s="299"/>
      <c r="AT108" s="299"/>
      <c r="AU108" s="299">
        <f>SUM(B108:AQ108)</f>
        <v>4708.8</v>
      </c>
      <c r="BA108" s="332"/>
      <c r="BB108" s="332"/>
    </row>
    <row r="109" spans="1:55">
      <c r="A109" s="287"/>
      <c r="B109" s="320" t="s">
        <v>535</v>
      </c>
      <c r="C109" s="320"/>
      <c r="D109" s="319"/>
      <c r="E109" s="320" t="s">
        <v>535</v>
      </c>
      <c r="F109" s="322"/>
      <c r="G109" s="319"/>
      <c r="H109" s="320" t="s">
        <v>535</v>
      </c>
      <c r="I109" s="322"/>
      <c r="J109" s="319"/>
      <c r="K109" s="320" t="s">
        <v>535</v>
      </c>
      <c r="L109" s="322"/>
      <c r="M109" s="319"/>
      <c r="N109" s="320" t="s">
        <v>535</v>
      </c>
      <c r="O109" s="320"/>
      <c r="P109" s="319"/>
      <c r="Q109" s="320" t="s">
        <v>535</v>
      </c>
      <c r="R109" s="320"/>
      <c r="S109" s="319"/>
      <c r="T109" s="320" t="s">
        <v>535</v>
      </c>
      <c r="U109" s="320"/>
      <c r="V109" s="319"/>
      <c r="W109" s="320" t="s">
        <v>535</v>
      </c>
      <c r="X109" s="320"/>
      <c r="Y109" s="319"/>
      <c r="Z109" s="320" t="s">
        <v>535</v>
      </c>
      <c r="AA109" s="320"/>
      <c r="AB109" s="319"/>
      <c r="AC109" s="320" t="s">
        <v>535</v>
      </c>
      <c r="AD109" s="320"/>
      <c r="AE109" s="319"/>
      <c r="AF109" s="320" t="s">
        <v>535</v>
      </c>
      <c r="AG109" s="320"/>
      <c r="AH109" s="319"/>
      <c r="AI109" s="320" t="s">
        <v>535</v>
      </c>
      <c r="AJ109" s="320"/>
      <c r="AK109" s="319"/>
      <c r="AL109" s="320" t="s">
        <v>535</v>
      </c>
      <c r="AM109" s="320"/>
      <c r="AN109" s="319"/>
      <c r="AO109" s="320" t="s">
        <v>535</v>
      </c>
      <c r="AP109" s="320"/>
      <c r="AQ109" s="299"/>
      <c r="AR109" s="299"/>
      <c r="AS109" s="299"/>
      <c r="AT109" s="299"/>
      <c r="AU109" s="299"/>
      <c r="BA109" s="334"/>
      <c r="BB109" s="334"/>
    </row>
    <row r="110" spans="1:55">
      <c r="A110" s="287"/>
      <c r="B110" s="301"/>
      <c r="C110" s="301"/>
      <c r="D110" s="299"/>
      <c r="E110" s="301"/>
      <c r="F110" s="301"/>
      <c r="G110" s="299"/>
      <c r="H110" s="301"/>
      <c r="I110" s="301"/>
      <c r="J110" s="299"/>
      <c r="K110" s="301"/>
      <c r="L110" s="301"/>
      <c r="M110" s="299"/>
      <c r="N110" s="301"/>
      <c r="O110" s="301"/>
      <c r="P110" s="299"/>
      <c r="Q110" s="301"/>
      <c r="R110" s="301"/>
      <c r="S110" s="299"/>
      <c r="T110" s="301"/>
      <c r="U110" s="301"/>
      <c r="V110" s="299"/>
      <c r="W110" s="301"/>
      <c r="X110" s="301"/>
      <c r="Y110" s="299"/>
      <c r="Z110" s="301"/>
      <c r="AA110" s="301"/>
      <c r="AB110" s="299"/>
      <c r="AC110" s="301"/>
      <c r="AD110" s="301"/>
      <c r="AE110" s="299"/>
      <c r="AF110" s="301"/>
      <c r="AG110" s="301"/>
      <c r="AH110" s="299"/>
      <c r="AI110" s="301"/>
      <c r="AJ110" s="301"/>
      <c r="AK110" s="299"/>
      <c r="AL110" s="301"/>
      <c r="AM110" s="301"/>
      <c r="AN110" s="299"/>
      <c r="AO110" s="301"/>
      <c r="AP110" s="301"/>
      <c r="AQ110" s="299"/>
      <c r="AR110" s="299"/>
      <c r="AS110" s="299"/>
      <c r="AT110" s="299"/>
      <c r="AU110" s="299"/>
      <c r="BA110" s="334"/>
      <c r="BB110" s="334"/>
    </row>
    <row r="111" spans="1:55">
      <c r="A111" s="287"/>
      <c r="B111" s="301"/>
      <c r="C111" s="301"/>
      <c r="D111" s="299"/>
      <c r="E111" s="301"/>
      <c r="F111" s="301"/>
      <c r="G111" s="299"/>
      <c r="H111" s="301"/>
      <c r="I111" s="301"/>
      <c r="J111" s="299"/>
      <c r="K111" s="301"/>
      <c r="L111" s="301"/>
      <c r="M111" s="299"/>
      <c r="N111" s="301"/>
      <c r="O111" s="301"/>
      <c r="P111" s="299"/>
      <c r="Q111" s="301"/>
      <c r="R111" s="301"/>
      <c r="S111" s="299"/>
      <c r="T111" s="301"/>
      <c r="U111" s="301"/>
      <c r="V111" s="299"/>
      <c r="W111" s="301"/>
      <c r="X111" s="301"/>
      <c r="Y111" s="299"/>
      <c r="Z111" s="301"/>
      <c r="AA111" s="301"/>
      <c r="AB111" s="299"/>
      <c r="AC111" s="301"/>
      <c r="AD111" s="301"/>
      <c r="AE111" s="299"/>
      <c r="AF111" s="301"/>
      <c r="AG111" s="301"/>
      <c r="AH111" s="299"/>
      <c r="AI111" s="301"/>
      <c r="AJ111" s="301"/>
      <c r="AK111" s="299"/>
      <c r="AL111" s="301"/>
      <c r="AM111" s="301"/>
      <c r="AN111" s="299"/>
      <c r="AO111" s="301"/>
      <c r="AP111" s="301"/>
      <c r="AQ111" s="299"/>
      <c r="AR111" s="299"/>
      <c r="AS111" s="299"/>
      <c r="AT111" s="299"/>
      <c r="AU111" s="299"/>
      <c r="BA111" s="334"/>
      <c r="BB111" s="334"/>
    </row>
    <row r="112" spans="1:55">
      <c r="A112" s="287"/>
      <c r="B112" s="764"/>
      <c r="C112" s="764"/>
      <c r="D112" s="299"/>
      <c r="E112" s="764"/>
      <c r="F112" s="764"/>
      <c r="G112" s="299"/>
      <c r="H112" s="764"/>
      <c r="I112" s="764"/>
      <c r="J112" s="299"/>
      <c r="K112" s="764"/>
      <c r="L112" s="764"/>
      <c r="M112" s="299"/>
      <c r="N112" s="764"/>
      <c r="O112" s="764"/>
      <c r="P112" s="299"/>
      <c r="Q112" s="764"/>
      <c r="R112" s="764"/>
      <c r="S112" s="299"/>
      <c r="T112" s="764"/>
      <c r="U112" s="764"/>
      <c r="V112" s="299"/>
      <c r="W112" s="764"/>
      <c r="X112" s="764"/>
      <c r="Y112" s="299"/>
      <c r="Z112" s="764"/>
      <c r="AA112" s="764"/>
      <c r="AB112" s="299"/>
      <c r="AC112" s="764"/>
      <c r="AD112" s="764"/>
      <c r="AE112" s="299"/>
      <c r="AF112" s="764"/>
      <c r="AG112" s="764"/>
      <c r="AH112" s="299"/>
      <c r="AI112" s="764"/>
      <c r="AJ112" s="764"/>
      <c r="AK112" s="299"/>
      <c r="AL112" s="764"/>
      <c r="AM112" s="764"/>
      <c r="AN112" s="299"/>
      <c r="AO112" s="764"/>
      <c r="AP112" s="764"/>
      <c r="AQ112" s="299"/>
      <c r="AR112" s="299"/>
      <c r="AS112" s="299"/>
      <c r="AT112" s="299"/>
      <c r="AU112" s="299"/>
      <c r="BA112" s="334"/>
      <c r="BB112" s="334"/>
    </row>
    <row r="113" spans="1:55">
      <c r="A113" s="287"/>
      <c r="B113" s="291"/>
      <c r="C113" s="293"/>
      <c r="D113" s="300"/>
      <c r="E113" s="291"/>
      <c r="F113" s="293"/>
      <c r="G113" s="300"/>
      <c r="H113" s="291"/>
      <c r="I113" s="293"/>
      <c r="J113" s="300"/>
      <c r="K113" s="291"/>
      <c r="L113" s="293"/>
      <c r="M113" s="300"/>
      <c r="N113" s="317"/>
      <c r="O113" s="303"/>
      <c r="P113" s="300"/>
      <c r="Q113" s="291"/>
      <c r="R113" s="293"/>
      <c r="S113" s="300"/>
      <c r="T113" s="317"/>
      <c r="U113" s="321"/>
      <c r="V113" s="300"/>
      <c r="W113" s="317"/>
      <c r="X113" s="321"/>
      <c r="Y113" s="300"/>
      <c r="Z113" s="317"/>
      <c r="AA113" s="321"/>
      <c r="AB113" s="300"/>
      <c r="AC113" s="317"/>
      <c r="AD113" s="321"/>
      <c r="AE113" s="300"/>
      <c r="AF113" s="317"/>
      <c r="AG113" s="303"/>
      <c r="AH113" s="300"/>
      <c r="AI113" s="317"/>
      <c r="AJ113" s="303"/>
      <c r="AK113" s="300"/>
      <c r="AL113" s="291"/>
      <c r="AM113" s="293"/>
      <c r="AN113" s="300"/>
      <c r="AO113" s="291"/>
      <c r="AP113" s="293"/>
      <c r="AQ113" s="300"/>
      <c r="AR113" s="300"/>
      <c r="AS113" s="300"/>
      <c r="AT113" s="300"/>
      <c r="AU113" s="300"/>
      <c r="BA113" s="334"/>
      <c r="BB113" s="334"/>
    </row>
    <row r="114" spans="1:55">
      <c r="A114" s="287"/>
      <c r="B114" s="317"/>
      <c r="C114" s="293"/>
      <c r="D114" s="300"/>
      <c r="E114" s="317"/>
      <c r="F114" s="317"/>
      <c r="G114" s="300"/>
      <c r="H114" s="317"/>
      <c r="I114" s="317"/>
      <c r="J114" s="300"/>
      <c r="K114" s="317"/>
      <c r="L114" s="317"/>
      <c r="M114" s="299"/>
      <c r="N114" s="291"/>
      <c r="O114" s="317"/>
      <c r="P114" s="299"/>
      <c r="Q114" s="317"/>
      <c r="R114" s="317"/>
      <c r="S114" s="299"/>
      <c r="T114" s="317"/>
      <c r="U114" s="317"/>
      <c r="V114" s="299"/>
      <c r="W114" s="317"/>
      <c r="X114" s="317"/>
      <c r="Y114" s="299"/>
      <c r="Z114" s="317"/>
      <c r="AA114" s="317"/>
      <c r="AB114" s="300"/>
      <c r="AC114" s="317"/>
      <c r="AD114" s="317"/>
      <c r="AE114" s="299"/>
      <c r="AF114" s="317"/>
      <c r="AG114" s="317"/>
      <c r="AH114" s="300"/>
      <c r="AI114" s="317"/>
      <c r="AJ114" s="317"/>
      <c r="AK114" s="300"/>
      <c r="AL114" s="317"/>
      <c r="AM114" s="317"/>
      <c r="AN114" s="300"/>
      <c r="AO114" s="317"/>
      <c r="AP114" s="317"/>
      <c r="AQ114" s="300"/>
      <c r="AR114" s="300"/>
      <c r="AS114" s="300"/>
      <c r="AT114" s="300"/>
      <c r="AU114" s="300"/>
      <c r="AW114" s="281">
        <v>14</v>
      </c>
      <c r="AX114" s="281">
        <v>14</v>
      </c>
      <c r="AY114" s="281">
        <v>14</v>
      </c>
      <c r="AZ114" s="281">
        <v>14</v>
      </c>
      <c r="BA114" s="335">
        <f>SUM(D117:AQ117)/1000</f>
        <v>3.2596999999999996</v>
      </c>
      <c r="BB114" s="335">
        <f>BA114</f>
        <v>3.2596999999999996</v>
      </c>
      <c r="BC114" s="492"/>
    </row>
    <row r="115" spans="1:55">
      <c r="A115" s="287"/>
      <c r="B115" s="727" t="s">
        <v>253</v>
      </c>
      <c r="C115" s="728"/>
      <c r="D115" s="300" t="s">
        <v>0</v>
      </c>
      <c r="E115" s="727" t="s">
        <v>254</v>
      </c>
      <c r="F115" s="728"/>
      <c r="G115" s="300" t="s">
        <v>0</v>
      </c>
      <c r="H115" s="727" t="s">
        <v>255</v>
      </c>
      <c r="I115" s="728"/>
      <c r="J115" s="300" t="s">
        <v>0</v>
      </c>
      <c r="K115" s="761" t="s">
        <v>257</v>
      </c>
      <c r="L115" s="761"/>
      <c r="M115" s="300" t="s">
        <v>0</v>
      </c>
      <c r="N115" s="761" t="s">
        <v>259</v>
      </c>
      <c r="O115" s="761"/>
      <c r="P115" s="300" t="s">
        <v>0</v>
      </c>
      <c r="Q115" s="728" t="s">
        <v>262</v>
      </c>
      <c r="R115" s="728"/>
      <c r="S115" s="300" t="s">
        <v>0</v>
      </c>
      <c r="T115" s="728" t="s">
        <v>264</v>
      </c>
      <c r="U115" s="728"/>
      <c r="V115" s="300" t="s">
        <v>0</v>
      </c>
      <c r="W115" s="728" t="s">
        <v>266</v>
      </c>
      <c r="X115" s="728"/>
      <c r="Y115" s="299" t="s">
        <v>0</v>
      </c>
      <c r="Z115" s="727" t="s">
        <v>267</v>
      </c>
      <c r="AA115" s="728"/>
      <c r="AB115" s="299" t="s">
        <v>0</v>
      </c>
      <c r="AC115" s="727" t="s">
        <v>269</v>
      </c>
      <c r="AD115" s="728"/>
      <c r="AE115" s="300" t="s">
        <v>0</v>
      </c>
      <c r="AF115" s="728" t="s">
        <v>271</v>
      </c>
      <c r="AG115" s="728"/>
      <c r="AH115" s="299" t="s">
        <v>0</v>
      </c>
      <c r="AI115" s="727" t="s">
        <v>273</v>
      </c>
      <c r="AJ115" s="728"/>
      <c r="AK115" s="299" t="s">
        <v>0</v>
      </c>
      <c r="AL115" s="727" t="s">
        <v>274</v>
      </c>
      <c r="AM115" s="728"/>
      <c r="AN115" s="299" t="s">
        <v>0</v>
      </c>
      <c r="AO115" s="727" t="s">
        <v>275</v>
      </c>
      <c r="AP115" s="728"/>
      <c r="AQ115" s="299" t="s">
        <v>0</v>
      </c>
      <c r="AR115" s="299"/>
      <c r="AS115" s="299"/>
      <c r="AT115" s="299"/>
      <c r="AU115" s="299"/>
      <c r="BA115" s="334"/>
      <c r="BB115" s="334"/>
    </row>
    <row r="116" spans="1:55">
      <c r="A116" s="287"/>
      <c r="B116" s="726" t="s">
        <v>42</v>
      </c>
      <c r="C116" s="726"/>
      <c r="D116" s="299"/>
      <c r="E116" s="726" t="s">
        <v>37</v>
      </c>
      <c r="F116" s="726"/>
      <c r="G116" s="299"/>
      <c r="H116" s="726" t="s">
        <v>42</v>
      </c>
      <c r="I116" s="726"/>
      <c r="J116" s="299"/>
      <c r="K116" s="757" t="s">
        <v>54</v>
      </c>
      <c r="L116" s="757"/>
      <c r="M116" s="299"/>
      <c r="N116" s="757" t="s">
        <v>260</v>
      </c>
      <c r="O116" s="757"/>
      <c r="P116" s="299"/>
      <c r="Q116" s="726" t="s">
        <v>260</v>
      </c>
      <c r="R116" s="726"/>
      <c r="S116" s="299"/>
      <c r="T116" s="726" t="s">
        <v>260</v>
      </c>
      <c r="U116" s="726"/>
      <c r="V116" s="299"/>
      <c r="W116" s="726" t="s">
        <v>34</v>
      </c>
      <c r="X116" s="726"/>
      <c r="Y116" s="299"/>
      <c r="Z116" s="726" t="s">
        <v>625</v>
      </c>
      <c r="AA116" s="726"/>
      <c r="AB116" s="299"/>
      <c r="AC116" s="726" t="s">
        <v>625</v>
      </c>
      <c r="AD116" s="726"/>
      <c r="AE116" s="299"/>
      <c r="AF116" s="726" t="s">
        <v>51</v>
      </c>
      <c r="AG116" s="726"/>
      <c r="AH116" s="299"/>
      <c r="AI116" s="726" t="s">
        <v>65</v>
      </c>
      <c r="AJ116" s="726"/>
      <c r="AK116" s="299"/>
      <c r="AL116" s="726" t="s">
        <v>42</v>
      </c>
      <c r="AM116" s="726"/>
      <c r="AN116" s="299"/>
      <c r="AO116" s="726" t="s">
        <v>56</v>
      </c>
      <c r="AP116" s="726"/>
      <c r="AQ116" s="299"/>
      <c r="AR116" s="299"/>
      <c r="AS116" s="299"/>
      <c r="AT116" s="299"/>
      <c r="AU116" s="299"/>
      <c r="BA116" s="334"/>
      <c r="BB116" s="334"/>
    </row>
    <row r="117" spans="1:55">
      <c r="A117" s="287"/>
      <c r="B117" s="298"/>
      <c r="C117" s="298"/>
      <c r="D117" s="299">
        <v>354.9</v>
      </c>
      <c r="E117" s="298"/>
      <c r="F117" s="298"/>
      <c r="G117" s="299">
        <v>320.2</v>
      </c>
      <c r="H117" s="298"/>
      <c r="I117" s="298"/>
      <c r="J117" s="299">
        <v>383.9</v>
      </c>
      <c r="K117" s="309"/>
      <c r="L117" s="309"/>
      <c r="M117" s="299">
        <v>190.5</v>
      </c>
      <c r="N117" s="309"/>
      <c r="O117" s="309"/>
      <c r="P117" s="299">
        <v>178.3</v>
      </c>
      <c r="Q117" s="298"/>
      <c r="R117" s="298"/>
      <c r="S117" s="299">
        <v>148.4</v>
      </c>
      <c r="T117" s="298"/>
      <c r="U117" s="298"/>
      <c r="V117" s="299">
        <v>61.2</v>
      </c>
      <c r="W117" s="298"/>
      <c r="X117" s="298"/>
      <c r="Y117" s="299">
        <v>42.3</v>
      </c>
      <c r="Z117" s="298"/>
      <c r="AA117" s="298"/>
      <c r="AB117" s="299">
        <v>54.6</v>
      </c>
      <c r="AC117" s="298"/>
      <c r="AD117" s="298"/>
      <c r="AE117" s="299">
        <v>41.9</v>
      </c>
      <c r="AF117" s="298"/>
      <c r="AG117" s="298"/>
      <c r="AH117" s="299">
        <v>344.5</v>
      </c>
      <c r="AI117" s="298"/>
      <c r="AJ117" s="298"/>
      <c r="AK117" s="299">
        <v>393</v>
      </c>
      <c r="AL117" s="298"/>
      <c r="AM117" s="298"/>
      <c r="AN117" s="299">
        <v>359</v>
      </c>
      <c r="AO117" s="298"/>
      <c r="AP117" s="298"/>
      <c r="AQ117" s="299">
        <v>387</v>
      </c>
      <c r="AR117" s="299"/>
      <c r="AS117" s="299"/>
      <c r="AT117" s="299"/>
      <c r="AU117" s="299">
        <f>SUM(B117:AQ117)</f>
        <v>3259.7</v>
      </c>
      <c r="BA117" s="332"/>
      <c r="BB117" s="332"/>
    </row>
    <row r="118" spans="1:55">
      <c r="A118" s="287"/>
      <c r="B118" s="320" t="s">
        <v>535</v>
      </c>
      <c r="C118" s="320"/>
      <c r="D118" s="319"/>
      <c r="E118" s="352" t="s">
        <v>568</v>
      </c>
      <c r="F118" s="352"/>
      <c r="G118" s="351"/>
      <c r="H118" s="352" t="s">
        <v>568</v>
      </c>
      <c r="I118" s="352"/>
      <c r="J118" s="351"/>
      <c r="K118" s="352" t="s">
        <v>568</v>
      </c>
      <c r="L118" s="353"/>
      <c r="M118" s="351"/>
      <c r="N118" s="352" t="s">
        <v>568</v>
      </c>
      <c r="O118" s="353"/>
      <c r="P118" s="351"/>
      <c r="Q118" s="352" t="s">
        <v>568</v>
      </c>
      <c r="R118" s="352"/>
      <c r="S118" s="351"/>
      <c r="T118" s="352" t="s">
        <v>568</v>
      </c>
      <c r="U118" s="352"/>
      <c r="V118" s="351"/>
      <c r="W118" s="352" t="s">
        <v>568</v>
      </c>
      <c r="X118" s="352"/>
      <c r="Y118" s="351"/>
      <c r="Z118" s="352" t="s">
        <v>568</v>
      </c>
      <c r="AA118" s="352"/>
      <c r="AB118" s="351"/>
      <c r="AC118" s="352" t="s">
        <v>568</v>
      </c>
      <c r="AD118" s="352"/>
      <c r="AE118" s="351"/>
      <c r="AF118" s="352" t="s">
        <v>568</v>
      </c>
      <c r="AG118" s="352"/>
      <c r="AH118" s="351"/>
      <c r="AI118" s="352" t="s">
        <v>568</v>
      </c>
      <c r="AJ118" s="352"/>
      <c r="AK118" s="351"/>
      <c r="AL118" s="352" t="s">
        <v>568</v>
      </c>
      <c r="AM118" s="352"/>
      <c r="AN118" s="351"/>
      <c r="AO118" s="352" t="s">
        <v>568</v>
      </c>
      <c r="AP118" s="352"/>
      <c r="AQ118" s="299"/>
      <c r="AR118" s="299"/>
      <c r="AS118" s="299"/>
      <c r="AT118" s="299"/>
      <c r="AU118" s="299"/>
      <c r="BA118" s="334"/>
      <c r="BB118" s="334"/>
    </row>
    <row r="119" spans="1:55">
      <c r="A119" s="287"/>
      <c r="B119" s="301"/>
      <c r="C119" s="301"/>
      <c r="D119" s="299"/>
      <c r="E119" s="301"/>
      <c r="F119" s="301"/>
      <c r="G119" s="299"/>
      <c r="H119" s="301"/>
      <c r="I119" s="301"/>
      <c r="J119" s="299"/>
      <c r="K119" s="301"/>
      <c r="L119" s="301"/>
      <c r="M119" s="299"/>
      <c r="N119" s="301"/>
      <c r="O119" s="301"/>
      <c r="P119" s="299"/>
      <c r="Q119" s="301"/>
      <c r="R119" s="301"/>
      <c r="S119" s="299"/>
      <c r="T119" s="301"/>
      <c r="U119" s="301"/>
      <c r="V119" s="299"/>
      <c r="W119" s="301"/>
      <c r="X119" s="301"/>
      <c r="Y119" s="299"/>
      <c r="Z119" s="301"/>
      <c r="AA119" s="301"/>
      <c r="AB119" s="299"/>
      <c r="AC119" s="301"/>
      <c r="AD119" s="301"/>
      <c r="AE119" s="299"/>
      <c r="AF119" s="301"/>
      <c r="AG119" s="301"/>
      <c r="AI119" s="301"/>
      <c r="AL119" s="455"/>
      <c r="AM119" s="455"/>
      <c r="AN119" s="454"/>
      <c r="AO119" s="455"/>
      <c r="AP119" s="455"/>
      <c r="BA119" s="334"/>
      <c r="BB119" s="334"/>
    </row>
    <row r="120" spans="1:55">
      <c r="A120" s="287"/>
      <c r="B120" s="301"/>
      <c r="C120" s="301"/>
      <c r="D120" s="299"/>
      <c r="E120" s="301"/>
      <c r="F120" s="301"/>
      <c r="G120" s="299"/>
      <c r="H120" s="301"/>
      <c r="I120" s="301"/>
      <c r="J120" s="299"/>
      <c r="K120" s="301"/>
      <c r="L120" s="301"/>
      <c r="M120" s="299"/>
      <c r="N120" s="301"/>
      <c r="O120" s="301"/>
      <c r="P120" s="299"/>
      <c r="Q120" s="301"/>
      <c r="R120" s="301"/>
      <c r="S120" s="299"/>
      <c r="T120" s="301"/>
      <c r="U120" s="301"/>
      <c r="V120" s="299"/>
      <c r="W120" s="301"/>
      <c r="X120" s="301"/>
      <c r="Y120" s="299"/>
      <c r="Z120" s="301"/>
      <c r="AA120" s="301"/>
      <c r="AC120" s="301"/>
      <c r="AD120" s="301"/>
      <c r="AE120" s="299"/>
      <c r="AF120" s="301"/>
      <c r="AG120" s="301"/>
      <c r="BA120" s="334"/>
      <c r="BB120" s="334"/>
    </row>
    <row r="121" spans="1:55">
      <c r="A121" s="287"/>
      <c r="B121" s="726"/>
      <c r="C121" s="726"/>
      <c r="D121" s="299"/>
      <c r="E121" s="764"/>
      <c r="F121" s="764"/>
      <c r="G121" s="299"/>
      <c r="H121" s="764"/>
      <c r="I121" s="764"/>
      <c r="J121" s="299"/>
      <c r="K121" s="764"/>
      <c r="L121" s="764"/>
      <c r="M121" s="299"/>
      <c r="N121" s="764"/>
      <c r="O121" s="764"/>
      <c r="P121" s="299"/>
      <c r="Q121" s="764"/>
      <c r="R121" s="764"/>
      <c r="S121" s="299"/>
      <c r="T121" s="764"/>
      <c r="U121" s="764"/>
      <c r="V121" s="299"/>
      <c r="W121" s="764"/>
      <c r="X121" s="764"/>
      <c r="Y121" s="299"/>
      <c r="Z121" s="726"/>
      <c r="AA121" s="726"/>
      <c r="AB121" s="299"/>
      <c r="AC121" s="726"/>
      <c r="AD121" s="726"/>
      <c r="AE121" s="745"/>
      <c r="AF121" s="745"/>
      <c r="AG121" s="745"/>
      <c r="AH121" s="745"/>
      <c r="AI121" s="682"/>
      <c r="AJ121" s="682"/>
      <c r="AL121" s="682"/>
      <c r="AM121" s="682"/>
      <c r="AO121" s="682"/>
      <c r="AP121" s="682"/>
      <c r="BA121" s="334"/>
      <c r="BB121" s="334"/>
    </row>
    <row r="122" spans="1:55">
      <c r="A122" s="287"/>
      <c r="B122" s="291"/>
      <c r="C122" s="293"/>
      <c r="D122" s="300"/>
      <c r="E122" s="291"/>
      <c r="F122" s="293"/>
      <c r="G122" s="300"/>
      <c r="H122" s="291"/>
      <c r="I122" s="293"/>
      <c r="J122" s="300"/>
      <c r="K122" s="291"/>
      <c r="L122" s="293"/>
      <c r="M122" s="300"/>
      <c r="N122" s="291"/>
      <c r="O122" s="293"/>
      <c r="P122" s="300"/>
      <c r="Q122" s="291"/>
      <c r="R122" s="293"/>
      <c r="S122" s="300"/>
      <c r="T122" s="291"/>
      <c r="U122" s="293"/>
      <c r="V122" s="300"/>
      <c r="W122" s="291"/>
      <c r="X122" s="293"/>
      <c r="Y122" s="300"/>
      <c r="Z122" s="291"/>
      <c r="AA122" s="293"/>
      <c r="AB122" s="301"/>
      <c r="AC122" s="291"/>
      <c r="AD122" s="293"/>
      <c r="AE122" s="300"/>
      <c r="AF122" s="291"/>
      <c r="AG122" s="293"/>
      <c r="AH122" s="306"/>
      <c r="AI122" s="291"/>
      <c r="AJ122" s="293"/>
      <c r="AK122" s="306"/>
      <c r="AL122" s="291"/>
      <c r="AM122" s="293"/>
      <c r="AN122" s="306"/>
      <c r="AO122" s="291"/>
      <c r="AP122" s="293"/>
      <c r="AQ122" s="306"/>
      <c r="AR122" s="306"/>
      <c r="AS122" s="306"/>
      <c r="AT122" s="306"/>
      <c r="AU122" s="499"/>
      <c r="BA122" s="334"/>
      <c r="BB122" s="334"/>
    </row>
    <row r="123" spans="1:55">
      <c r="A123" s="287"/>
      <c r="B123" s="317"/>
      <c r="C123" s="317"/>
      <c r="D123" s="300"/>
      <c r="E123" s="317"/>
      <c r="F123" s="317"/>
      <c r="G123" s="300"/>
      <c r="H123" s="317"/>
      <c r="I123" s="317"/>
      <c r="J123" s="300"/>
      <c r="K123" s="317"/>
      <c r="L123" s="317"/>
      <c r="M123" s="300"/>
      <c r="N123" s="317"/>
      <c r="O123" s="317"/>
      <c r="P123" s="300"/>
      <c r="Q123" s="317"/>
      <c r="R123" s="317"/>
      <c r="S123" s="300"/>
      <c r="T123" s="317"/>
      <c r="U123" s="317"/>
      <c r="V123" s="300"/>
      <c r="W123" s="317"/>
      <c r="X123" s="317"/>
      <c r="Y123" s="299"/>
      <c r="Z123" s="317"/>
      <c r="AA123" s="317"/>
      <c r="AB123" s="316"/>
      <c r="AC123" s="317"/>
      <c r="AD123" s="317"/>
      <c r="AE123" s="299"/>
      <c r="AF123" s="317"/>
      <c r="AG123" s="317"/>
      <c r="AH123" s="306"/>
      <c r="AI123" s="317"/>
      <c r="AJ123" s="317"/>
      <c r="AL123" s="317"/>
      <c r="AM123" s="317"/>
      <c r="AO123" s="317"/>
      <c r="AP123" s="317"/>
      <c r="AQ123" s="306"/>
      <c r="AR123" s="306"/>
      <c r="AS123" s="306"/>
      <c r="AT123" s="306"/>
      <c r="AU123" s="499"/>
      <c r="AW123" s="281">
        <v>12</v>
      </c>
      <c r="AX123" s="281">
        <v>12</v>
      </c>
      <c r="AY123" s="281">
        <v>12</v>
      </c>
      <c r="AZ123" s="281">
        <v>12</v>
      </c>
      <c r="BA123" s="335">
        <f>SUM(D126:AK126)/1000</f>
        <v>4.0777999999999999</v>
      </c>
      <c r="BB123" s="335">
        <f>BA123</f>
        <v>4.0777999999999999</v>
      </c>
      <c r="BC123" s="492"/>
    </row>
    <row r="124" spans="1:55">
      <c r="A124" s="287"/>
      <c r="B124" s="735" t="s">
        <v>276</v>
      </c>
      <c r="C124" s="726"/>
      <c r="D124" s="300"/>
      <c r="E124" s="727" t="s">
        <v>277</v>
      </c>
      <c r="F124" s="728"/>
      <c r="G124" s="300"/>
      <c r="H124" s="728" t="s">
        <v>279</v>
      </c>
      <c r="I124" s="728"/>
      <c r="J124" s="300"/>
      <c r="K124" s="727" t="s">
        <v>280</v>
      </c>
      <c r="L124" s="728"/>
      <c r="M124" s="300"/>
      <c r="N124" s="727" t="s">
        <v>281</v>
      </c>
      <c r="O124" s="728"/>
      <c r="P124" s="300"/>
      <c r="Q124" s="727" t="s">
        <v>282</v>
      </c>
      <c r="R124" s="728"/>
      <c r="S124" s="300"/>
      <c r="T124" s="733" t="s">
        <v>283</v>
      </c>
      <c r="U124" s="728"/>
      <c r="V124" s="300"/>
      <c r="W124" s="733" t="s">
        <v>284</v>
      </c>
      <c r="X124" s="728"/>
      <c r="Y124" s="299"/>
      <c r="Z124" s="735" t="s">
        <v>285</v>
      </c>
      <c r="AA124" s="726"/>
      <c r="AB124" s="316"/>
      <c r="AC124" s="735" t="s">
        <v>664</v>
      </c>
      <c r="AD124" s="735"/>
      <c r="AE124" s="299"/>
      <c r="AF124" s="735" t="s">
        <v>288</v>
      </c>
      <c r="AG124" s="726"/>
      <c r="AH124" s="306"/>
      <c r="AI124" s="792" t="s">
        <v>290</v>
      </c>
      <c r="AJ124" s="682"/>
      <c r="AL124" s="682" t="s">
        <v>291</v>
      </c>
      <c r="AM124" s="682"/>
      <c r="AO124" s="682" t="s">
        <v>292</v>
      </c>
      <c r="AP124" s="682"/>
      <c r="AQ124" s="306"/>
      <c r="AR124" s="306"/>
      <c r="AS124" s="306"/>
      <c r="AT124" s="306"/>
      <c r="AU124" s="499"/>
      <c r="BA124" s="334"/>
      <c r="BB124" s="334"/>
    </row>
    <row r="125" spans="1:55">
      <c r="A125" s="287"/>
      <c r="B125" s="726" t="s">
        <v>56</v>
      </c>
      <c r="C125" s="726"/>
      <c r="D125" s="299"/>
      <c r="E125" s="726" t="s">
        <v>37</v>
      </c>
      <c r="F125" s="726"/>
      <c r="G125" s="299"/>
      <c r="H125" s="726" t="s">
        <v>76</v>
      </c>
      <c r="I125" s="726"/>
      <c r="J125" s="299"/>
      <c r="K125" s="726" t="s">
        <v>42</v>
      </c>
      <c r="L125" s="726"/>
      <c r="M125" s="299"/>
      <c r="N125" s="726" t="s">
        <v>42</v>
      </c>
      <c r="O125" s="726"/>
      <c r="P125" s="299"/>
      <c r="Q125" s="726" t="s">
        <v>42</v>
      </c>
      <c r="R125" s="726"/>
      <c r="S125" s="299"/>
      <c r="T125" s="726" t="s">
        <v>42</v>
      </c>
      <c r="U125" s="726"/>
      <c r="V125" s="299"/>
      <c r="W125" s="757" t="s">
        <v>42</v>
      </c>
      <c r="X125" s="726"/>
      <c r="Y125" s="299"/>
      <c r="Z125" s="726" t="s">
        <v>42</v>
      </c>
      <c r="AA125" s="726"/>
      <c r="AB125" s="299"/>
      <c r="AC125" s="726" t="s">
        <v>76</v>
      </c>
      <c r="AD125" s="726"/>
      <c r="AE125" s="299"/>
      <c r="AF125" s="726" t="s">
        <v>56</v>
      </c>
      <c r="AG125" s="726"/>
      <c r="AI125" s="792" t="s">
        <v>39</v>
      </c>
      <c r="AJ125" s="682"/>
      <c r="AL125" s="682" t="s">
        <v>42</v>
      </c>
      <c r="AM125" s="682"/>
      <c r="AO125" s="682" t="s">
        <v>42</v>
      </c>
      <c r="AP125" s="682"/>
      <c r="BA125" s="334"/>
      <c r="BB125" s="334"/>
    </row>
    <row r="126" spans="1:55">
      <c r="B126" s="298"/>
      <c r="C126" s="298"/>
      <c r="D126" s="299">
        <v>346</v>
      </c>
      <c r="E126" s="298"/>
      <c r="F126" s="298"/>
      <c r="G126" s="299">
        <v>375.6</v>
      </c>
      <c r="H126" s="298"/>
      <c r="I126" s="298"/>
      <c r="J126" s="299">
        <v>341.7</v>
      </c>
      <c r="K126" s="298"/>
      <c r="L126" s="298"/>
      <c r="M126" s="299">
        <v>321.5</v>
      </c>
      <c r="N126" s="298"/>
      <c r="O126" s="298"/>
      <c r="P126" s="299">
        <v>312.39999999999998</v>
      </c>
      <c r="Q126" s="298"/>
      <c r="R126" s="298"/>
      <c r="S126" s="299">
        <v>358.4</v>
      </c>
      <c r="T126" s="298"/>
      <c r="U126" s="298"/>
      <c r="V126" s="299">
        <v>319.2</v>
      </c>
      <c r="W126" s="309"/>
      <c r="X126" s="298"/>
      <c r="Y126" s="299">
        <v>342.4</v>
      </c>
      <c r="Z126" s="298"/>
      <c r="AA126" s="298"/>
      <c r="AB126" s="299">
        <v>337.3</v>
      </c>
      <c r="AC126" s="298"/>
      <c r="AD126" s="298"/>
      <c r="AE126" s="299">
        <v>371.8</v>
      </c>
      <c r="AF126" s="298"/>
      <c r="AG126" s="298"/>
      <c r="AH126" s="275">
        <v>371.5</v>
      </c>
      <c r="AI126" s="308"/>
      <c r="AJ126" s="284"/>
      <c r="AK126" s="275">
        <v>280</v>
      </c>
      <c r="AL126" s="453"/>
      <c r="AM126" s="453"/>
      <c r="AN126" s="454"/>
      <c r="AO126" s="453"/>
      <c r="AP126" s="453"/>
      <c r="AU126" s="498">
        <f>SUM(B126:AK126)</f>
        <v>4077.8</v>
      </c>
      <c r="BA126" s="332"/>
      <c r="BB126" s="332"/>
    </row>
    <row r="127" spans="1:55">
      <c r="B127" s="352" t="s">
        <v>568</v>
      </c>
      <c r="C127" s="352"/>
      <c r="D127" s="351"/>
      <c r="E127" s="352" t="s">
        <v>568</v>
      </c>
      <c r="F127" s="352"/>
      <c r="G127" s="351"/>
      <c r="H127" s="352" t="s">
        <v>568</v>
      </c>
      <c r="I127" s="352"/>
      <c r="J127" s="351"/>
      <c r="K127" s="352" t="s">
        <v>568</v>
      </c>
      <c r="L127" s="352"/>
      <c r="M127" s="351"/>
      <c r="N127" s="352" t="s">
        <v>568</v>
      </c>
      <c r="O127" s="352"/>
      <c r="P127" s="351"/>
      <c r="Q127" s="352" t="s">
        <v>568</v>
      </c>
      <c r="R127" s="352"/>
      <c r="S127" s="351"/>
      <c r="T127" s="352" t="s">
        <v>568</v>
      </c>
      <c r="U127" s="352"/>
      <c r="V127" s="351"/>
      <c r="W127" s="352" t="s">
        <v>568</v>
      </c>
      <c r="X127" s="352"/>
      <c r="Y127" s="351"/>
      <c r="Z127" s="352" t="s">
        <v>568</v>
      </c>
      <c r="AA127" s="352"/>
      <c r="AB127" s="351"/>
      <c r="AC127" s="352" t="s">
        <v>568</v>
      </c>
      <c r="AD127" s="352"/>
      <c r="AE127" s="351"/>
      <c r="AF127" s="352" t="s">
        <v>568</v>
      </c>
      <c r="AG127" s="352"/>
      <c r="AH127" s="354"/>
      <c r="AI127" s="352" t="s">
        <v>568</v>
      </c>
      <c r="AJ127" s="355"/>
      <c r="AK127" s="354"/>
      <c r="AL127" s="352" t="s">
        <v>568</v>
      </c>
      <c r="AM127" s="355"/>
      <c r="AN127" s="354"/>
      <c r="AO127" s="352" t="s">
        <v>568</v>
      </c>
      <c r="AP127" s="355"/>
      <c r="BA127" s="334"/>
      <c r="BB127" s="334"/>
    </row>
    <row r="128" spans="1:55">
      <c r="B128" s="301"/>
      <c r="C128" s="301"/>
      <c r="D128" s="299"/>
      <c r="E128" s="301"/>
      <c r="F128" s="301"/>
      <c r="G128" s="299"/>
      <c r="H128" s="301"/>
      <c r="I128" s="301"/>
      <c r="J128" s="299"/>
      <c r="K128" s="301"/>
      <c r="L128" s="301"/>
      <c r="M128" s="299"/>
      <c r="N128" s="301"/>
      <c r="O128" s="301"/>
      <c r="P128" s="299"/>
      <c r="Q128" s="301"/>
      <c r="R128" s="301"/>
      <c r="S128" s="299"/>
      <c r="T128" s="301"/>
      <c r="U128" s="301"/>
      <c r="V128" s="299"/>
      <c r="W128" s="301"/>
      <c r="X128" s="301"/>
      <c r="Y128" s="299"/>
      <c r="Z128" s="301"/>
      <c r="AA128" s="301"/>
      <c r="AB128" s="299"/>
      <c r="AC128" s="301"/>
      <c r="AD128" s="301"/>
      <c r="AE128" s="299"/>
      <c r="AF128" s="301"/>
      <c r="AG128" s="301"/>
      <c r="AH128" s="299"/>
      <c r="BA128" s="334"/>
      <c r="BB128" s="334"/>
    </row>
    <row r="129" spans="2:55">
      <c r="B129" s="301"/>
      <c r="C129" s="301"/>
      <c r="D129" s="299"/>
      <c r="E129" s="301"/>
      <c r="F129" s="301"/>
      <c r="G129" s="299"/>
      <c r="H129" s="301"/>
      <c r="I129" s="301"/>
      <c r="J129" s="299"/>
      <c r="K129" s="301"/>
      <c r="L129" s="301"/>
      <c r="M129" s="299"/>
      <c r="N129" s="301"/>
      <c r="O129" s="301"/>
      <c r="P129" s="299"/>
      <c r="Q129" s="301"/>
      <c r="R129" s="301"/>
      <c r="S129" s="299"/>
      <c r="T129" s="301"/>
      <c r="U129" s="301"/>
      <c r="V129" s="299"/>
      <c r="W129" s="301"/>
      <c r="X129" s="301"/>
      <c r="Y129" s="299"/>
      <c r="Z129" s="301"/>
      <c r="AA129" s="301"/>
      <c r="AC129" s="301"/>
      <c r="AD129" s="301"/>
      <c r="AE129" s="299"/>
      <c r="AF129" s="301"/>
      <c r="AG129" s="301"/>
      <c r="BA129" s="334"/>
      <c r="BB129" s="334"/>
    </row>
    <row r="130" spans="2:55">
      <c r="B130" s="726"/>
      <c r="C130" s="726"/>
      <c r="D130" s="299"/>
      <c r="E130" s="726"/>
      <c r="F130" s="726"/>
      <c r="G130" s="299"/>
      <c r="H130" s="726"/>
      <c r="I130" s="726"/>
      <c r="J130" s="299"/>
      <c r="K130" s="726"/>
      <c r="L130" s="726"/>
      <c r="M130" s="299"/>
      <c r="N130" s="688" t="s">
        <v>625</v>
      </c>
      <c r="O130" s="688"/>
      <c r="P130" s="688"/>
      <c r="Q130" s="726"/>
      <c r="R130" s="726"/>
      <c r="S130" s="299"/>
      <c r="T130" s="726"/>
      <c r="U130" s="726"/>
      <c r="V130" s="299"/>
      <c r="W130" s="726"/>
      <c r="X130" s="726"/>
      <c r="Y130" s="299"/>
      <c r="Z130" s="726"/>
      <c r="AA130" s="726"/>
      <c r="AB130" s="299"/>
      <c r="AC130" s="726"/>
      <c r="AD130" s="726"/>
      <c r="AE130" s="745"/>
      <c r="AF130" s="745"/>
      <c r="AG130" s="745"/>
      <c r="AH130" s="745"/>
      <c r="AI130" s="682"/>
      <c r="AJ130" s="682"/>
      <c r="AL130" s="682"/>
      <c r="AM130" s="682"/>
      <c r="AO130" s="682"/>
      <c r="AP130" s="682"/>
      <c r="BA130" s="334"/>
      <c r="BB130" s="334"/>
    </row>
    <row r="131" spans="2:55">
      <c r="B131" s="303"/>
      <c r="C131" s="303"/>
      <c r="D131" s="300"/>
      <c r="E131" s="317"/>
      <c r="F131" s="303"/>
      <c r="G131" s="301"/>
      <c r="H131" s="317"/>
      <c r="I131" s="303"/>
      <c r="J131" s="300"/>
      <c r="K131" s="291"/>
      <c r="L131" s="293"/>
      <c r="M131" s="300"/>
      <c r="N131" s="688"/>
      <c r="O131" s="688"/>
      <c r="P131" s="688"/>
      <c r="Q131" s="302"/>
      <c r="R131" s="301"/>
      <c r="S131" s="300"/>
      <c r="T131" s="301"/>
      <c r="U131" s="301"/>
      <c r="V131" s="300"/>
      <c r="W131" s="301"/>
      <c r="X131" s="301"/>
      <c r="Y131" s="300"/>
      <c r="Z131" s="301"/>
      <c r="AA131" s="301"/>
      <c r="AB131" s="301"/>
      <c r="AC131" s="301"/>
      <c r="AD131" s="301"/>
      <c r="AE131" s="300"/>
      <c r="AF131" s="301"/>
      <c r="AG131" s="301"/>
      <c r="AH131" s="306"/>
      <c r="AI131" s="301"/>
      <c r="AJ131" s="301"/>
      <c r="AK131" s="306"/>
      <c r="AL131" s="301"/>
      <c r="AM131" s="301"/>
      <c r="AN131" s="306"/>
      <c r="AO131" s="301"/>
      <c r="AP131" s="301"/>
      <c r="AQ131" s="306"/>
      <c r="AR131" s="306"/>
      <c r="AS131" s="306"/>
      <c r="AT131" s="306"/>
      <c r="AU131" s="499"/>
      <c r="BA131" s="334"/>
      <c r="BB131" s="334"/>
    </row>
    <row r="132" spans="2:55">
      <c r="B132" s="303"/>
      <c r="C132" s="303"/>
      <c r="D132" s="300"/>
      <c r="E132" s="317"/>
      <c r="F132" s="303"/>
      <c r="G132" s="301"/>
      <c r="H132" s="317"/>
      <c r="I132" s="303"/>
      <c r="J132" s="300"/>
      <c r="K132" s="317"/>
      <c r="L132" s="317"/>
      <c r="M132" s="300"/>
      <c r="N132" s="688"/>
      <c r="O132" s="688"/>
      <c r="P132" s="688"/>
      <c r="Q132" s="312"/>
      <c r="R132" s="311"/>
      <c r="S132" s="300"/>
      <c r="T132" s="312"/>
      <c r="U132" s="311"/>
      <c r="V132" s="300"/>
      <c r="W132" s="302"/>
      <c r="X132" s="301"/>
      <c r="Y132" s="299"/>
      <c r="Z132" s="302"/>
      <c r="AA132" s="301"/>
      <c r="AB132" s="301"/>
      <c r="AC132" s="302"/>
      <c r="AD132" s="301"/>
      <c r="AE132" s="299"/>
      <c r="AF132" s="302"/>
      <c r="AG132" s="301"/>
      <c r="AI132" s="302"/>
      <c r="AJ132" s="301"/>
      <c r="AL132" s="302"/>
      <c r="AM132" s="301"/>
      <c r="AO132" s="302"/>
      <c r="AP132" s="301"/>
      <c r="AW132" s="281">
        <v>4</v>
      </c>
      <c r="AX132" s="281">
        <v>4</v>
      </c>
      <c r="AY132" s="281">
        <v>4</v>
      </c>
      <c r="AZ132" s="281">
        <v>4</v>
      </c>
      <c r="BA132" s="336">
        <f>SUM(D135:AB135)/1000</f>
        <v>0.81816000000000011</v>
      </c>
      <c r="BB132" s="336">
        <f>BA132</f>
        <v>0.81816000000000011</v>
      </c>
    </row>
    <row r="133" spans="2:55">
      <c r="B133" s="728" t="s">
        <v>294</v>
      </c>
      <c r="C133" s="728"/>
      <c r="D133" s="300"/>
      <c r="E133" s="789" t="s">
        <v>694</v>
      </c>
      <c r="F133" s="789"/>
      <c r="G133" s="358"/>
      <c r="H133" s="789" t="s">
        <v>295</v>
      </c>
      <c r="I133" s="789"/>
      <c r="J133" s="300"/>
      <c r="K133" s="790" t="s">
        <v>695</v>
      </c>
      <c r="L133" s="790"/>
      <c r="M133" s="300"/>
      <c r="N133" s="312"/>
      <c r="O133" s="311"/>
      <c r="P133" s="300"/>
      <c r="Q133" s="312"/>
      <c r="R133" s="311"/>
      <c r="S133" s="300"/>
      <c r="T133" s="312"/>
      <c r="U133" s="311"/>
      <c r="V133" s="300"/>
      <c r="W133" s="302"/>
      <c r="X133" s="301"/>
      <c r="Y133" s="299"/>
      <c r="Z133" s="302"/>
      <c r="AA133" s="301"/>
      <c r="AB133" s="301"/>
      <c r="AC133" s="302"/>
      <c r="AD133" s="301"/>
      <c r="AE133" s="299"/>
      <c r="AF133" s="302"/>
      <c r="AG133" s="301"/>
      <c r="AI133" s="302"/>
      <c r="AJ133" s="301"/>
      <c r="AL133" s="302"/>
      <c r="AM133" s="301"/>
      <c r="AO133" s="302"/>
      <c r="AP133" s="301"/>
      <c r="AW133" s="275"/>
      <c r="AX133" s="275"/>
      <c r="AY133" s="275"/>
      <c r="AZ133" s="275"/>
      <c r="BA133" s="275"/>
    </row>
    <row r="134" spans="2:55">
      <c r="B134" s="726" t="s">
        <v>81</v>
      </c>
      <c r="C134" s="726"/>
      <c r="D134" s="300"/>
      <c r="E134" s="791" t="s">
        <v>260</v>
      </c>
      <c r="F134" s="791"/>
      <c r="G134" s="301"/>
      <c r="H134" s="791" t="s">
        <v>260</v>
      </c>
      <c r="I134" s="791"/>
      <c r="J134" s="300"/>
      <c r="K134" s="791" t="s">
        <v>260</v>
      </c>
      <c r="L134" s="791"/>
      <c r="M134" s="300"/>
      <c r="N134" s="312"/>
      <c r="O134" s="311"/>
      <c r="P134" s="300"/>
      <c r="Q134" s="312"/>
      <c r="R134" s="311"/>
      <c r="S134" s="300"/>
      <c r="T134" s="312"/>
      <c r="U134" s="311"/>
      <c r="V134" s="300"/>
      <c r="W134" s="302"/>
      <c r="X134" s="301"/>
      <c r="Y134" s="299"/>
      <c r="Z134" s="302"/>
      <c r="AA134" s="301"/>
      <c r="AB134" s="301"/>
      <c r="AC134" s="302"/>
      <c r="AD134" s="301"/>
      <c r="AE134" s="299"/>
      <c r="AF134" s="302"/>
      <c r="AG134" s="301"/>
      <c r="AI134" s="302"/>
      <c r="AJ134" s="301"/>
      <c r="AL134" s="302"/>
      <c r="AM134" s="301"/>
      <c r="AO134" s="302"/>
      <c r="AP134" s="301"/>
      <c r="AW134" s="275"/>
      <c r="AX134" s="275"/>
      <c r="AY134" s="275"/>
      <c r="AZ134" s="275"/>
      <c r="BA134" s="275"/>
    </row>
    <row r="135" spans="2:55">
      <c r="B135" s="298"/>
      <c r="C135" s="298"/>
      <c r="D135" s="299">
        <v>373.16</v>
      </c>
      <c r="E135" s="298"/>
      <c r="G135" s="298">
        <v>159.04</v>
      </c>
      <c r="H135" s="299"/>
      <c r="J135" s="298">
        <v>236.01</v>
      </c>
      <c r="K135" s="298"/>
      <c r="M135" s="299">
        <v>49.95</v>
      </c>
      <c r="N135" s="312"/>
      <c r="O135" s="311"/>
      <c r="P135" s="300"/>
      <c r="Q135" s="312"/>
      <c r="R135" s="311"/>
      <c r="S135" s="300"/>
      <c r="T135" s="312"/>
      <c r="U135" s="311"/>
      <c r="V135" s="300"/>
      <c r="W135" s="302"/>
      <c r="X135" s="301"/>
      <c r="Y135" s="299"/>
      <c r="Z135" s="302"/>
      <c r="AA135" s="301"/>
      <c r="AB135" s="301"/>
      <c r="AC135" s="302"/>
      <c r="AD135" s="301"/>
      <c r="AE135" s="299"/>
      <c r="AF135" s="302"/>
      <c r="AG135" s="301"/>
      <c r="AI135" s="302"/>
      <c r="AJ135" s="301"/>
      <c r="AL135" s="302"/>
      <c r="AM135" s="301"/>
      <c r="AO135" s="302"/>
      <c r="AP135" s="301"/>
      <c r="AU135" s="498">
        <f>SUM(B135:M135)</f>
        <v>818.16000000000008</v>
      </c>
      <c r="AW135" s="275"/>
      <c r="AX135" s="275"/>
      <c r="AY135" s="275"/>
      <c r="AZ135" s="275"/>
      <c r="BA135" s="275"/>
    </row>
    <row r="136" spans="2:55" ht="16.5" thickBot="1">
      <c r="B136" s="356" t="s">
        <v>568</v>
      </c>
      <c r="C136" s="356"/>
      <c r="D136" s="357"/>
      <c r="E136" s="356" t="s">
        <v>568</v>
      </c>
      <c r="F136" s="359"/>
      <c r="G136" s="357"/>
      <c r="H136" s="356" t="s">
        <v>568</v>
      </c>
      <c r="I136" s="356"/>
      <c r="J136" s="357"/>
      <c r="K136" s="356" t="s">
        <v>568</v>
      </c>
      <c r="L136" s="359"/>
      <c r="M136" s="299"/>
      <c r="N136" s="307"/>
      <c r="O136" s="307"/>
      <c r="P136" s="310"/>
      <c r="Q136" s="307"/>
      <c r="R136" s="307"/>
      <c r="S136" s="310"/>
      <c r="T136" s="307"/>
      <c r="U136" s="307"/>
      <c r="V136" s="310"/>
      <c r="W136" s="309"/>
      <c r="X136" s="298"/>
      <c r="Y136" s="299"/>
      <c r="Z136" s="298"/>
      <c r="AA136" s="298"/>
      <c r="AB136" s="299"/>
      <c r="AC136" s="298"/>
      <c r="AD136" s="298"/>
      <c r="AE136" s="299"/>
      <c r="AF136" s="298"/>
      <c r="AG136" s="298"/>
      <c r="AI136" s="308"/>
      <c r="AJ136" s="284"/>
      <c r="AL136" s="284"/>
      <c r="AM136" s="284"/>
      <c r="AO136" s="284"/>
      <c r="AP136" s="284"/>
      <c r="AU136" s="500">
        <f>SUM(AU3:AU135)/1000</f>
        <v>64.033460000000005</v>
      </c>
    </row>
    <row r="137" spans="2:55" ht="15" customHeight="1" thickBot="1">
      <c r="B137" s="770" t="s">
        <v>627</v>
      </c>
      <c r="C137" s="771"/>
      <c r="D137" s="768"/>
      <c r="E137" s="768"/>
      <c r="F137" s="768"/>
      <c r="G137" s="768"/>
      <c r="H137" s="768"/>
      <c r="I137" s="768"/>
      <c r="J137" s="768"/>
      <c r="K137" s="768"/>
      <c r="L137" s="769"/>
      <c r="M137" s="297"/>
      <c r="N137" s="767" t="s">
        <v>628</v>
      </c>
      <c r="O137" s="768"/>
      <c r="P137" s="768"/>
      <c r="Q137" s="768"/>
      <c r="R137" s="768"/>
      <c r="S137" s="768"/>
      <c r="T137" s="768"/>
      <c r="U137" s="768"/>
      <c r="V137" s="769"/>
      <c r="W137" s="704" t="s">
        <v>665</v>
      </c>
      <c r="X137" s="705"/>
      <c r="Y137" s="705"/>
      <c r="Z137" s="705"/>
      <c r="AA137" s="705"/>
      <c r="AB137" s="705"/>
      <c r="AC137" s="705"/>
      <c r="AD137" s="705"/>
      <c r="AE137" s="705"/>
      <c r="AF137" s="705"/>
      <c r="AG137" s="705"/>
      <c r="AH137" s="705"/>
      <c r="AI137" s="705"/>
      <c r="AJ137" s="705"/>
      <c r="AK137" s="705"/>
      <c r="AL137" s="705"/>
      <c r="AM137" s="705"/>
      <c r="AN137" s="747"/>
      <c r="AO137" s="747"/>
      <c r="AP137" s="747"/>
      <c r="AQ137" s="748"/>
      <c r="AR137" s="748"/>
      <c r="AS137" s="748"/>
      <c r="AT137" s="748"/>
      <c r="AU137" s="749"/>
      <c r="AW137" s="281">
        <f t="shared" ref="AW137:AZ137" si="0">SUM(AW4:AW132)</f>
        <v>199</v>
      </c>
      <c r="AX137" s="281">
        <f t="shared" si="0"/>
        <v>199</v>
      </c>
      <c r="AY137" s="281">
        <f t="shared" si="0"/>
        <v>199</v>
      </c>
      <c r="AZ137" s="281">
        <f t="shared" si="0"/>
        <v>199</v>
      </c>
      <c r="BA137" s="494">
        <f>SUM(BA4:BA132)</f>
        <v>64.033460000000005</v>
      </c>
      <c r="BB137" s="281">
        <f>SUM(BB4:BB132)</f>
        <v>64.033460000000005</v>
      </c>
      <c r="BC137" s="493">
        <v>54</v>
      </c>
    </row>
    <row r="138" spans="2:55" ht="15" customHeight="1">
      <c r="B138" s="287"/>
      <c r="O138" s="296"/>
      <c r="P138" s="295"/>
      <c r="V138" s="280"/>
      <c r="W138" s="706"/>
      <c r="X138" s="707"/>
      <c r="Y138" s="707"/>
      <c r="Z138" s="707"/>
      <c r="AA138" s="707"/>
      <c r="AB138" s="707"/>
      <c r="AC138" s="707"/>
      <c r="AD138" s="707"/>
      <c r="AE138" s="707"/>
      <c r="AF138" s="707"/>
      <c r="AG138" s="707"/>
      <c r="AH138" s="707"/>
      <c r="AI138" s="707"/>
      <c r="AJ138" s="707"/>
      <c r="AK138" s="707"/>
      <c r="AL138" s="707"/>
      <c r="AM138" s="707"/>
      <c r="AN138" s="750"/>
      <c r="AO138" s="750"/>
      <c r="AP138" s="750"/>
      <c r="AQ138" s="751"/>
      <c r="AR138" s="751"/>
      <c r="AS138" s="751"/>
      <c r="AT138" s="751"/>
      <c r="AU138" s="752"/>
    </row>
    <row r="139" spans="2:55">
      <c r="B139" s="774" t="s">
        <v>470</v>
      </c>
      <c r="C139" s="775"/>
      <c r="D139" s="776"/>
      <c r="F139" s="714" t="s">
        <v>630</v>
      </c>
      <c r="G139" s="714"/>
      <c r="I139" s="715" t="s">
        <v>631</v>
      </c>
      <c r="J139" s="715"/>
      <c r="N139" s="717" t="s">
        <v>632</v>
      </c>
      <c r="O139" s="717"/>
      <c r="P139" s="690"/>
      <c r="R139" s="692" t="s">
        <v>633</v>
      </c>
      <c r="S139" s="693"/>
      <c r="T139" s="698"/>
      <c r="U139" s="699"/>
      <c r="V139" s="280"/>
      <c r="W139" s="731" t="s">
        <v>2</v>
      </c>
      <c r="X139" s="732"/>
      <c r="Y139" s="721" t="s">
        <v>356</v>
      </c>
      <c r="Z139" s="721"/>
      <c r="AA139" s="721"/>
      <c r="AB139" s="721"/>
      <c r="AC139" s="721" t="s">
        <v>634</v>
      </c>
      <c r="AD139" s="721"/>
      <c r="AE139" s="721" t="s">
        <v>635</v>
      </c>
      <c r="AF139" s="721"/>
      <c r="AG139" s="721"/>
      <c r="AH139" s="721" t="s">
        <v>32</v>
      </c>
      <c r="AI139" s="721"/>
      <c r="AJ139" s="721"/>
      <c r="AK139" s="721" t="s">
        <v>372</v>
      </c>
      <c r="AL139" s="721"/>
      <c r="AM139" s="721"/>
      <c r="AN139" s="721" t="s">
        <v>15</v>
      </c>
      <c r="AO139" s="721"/>
      <c r="AP139" s="721"/>
      <c r="AQ139" s="729"/>
      <c r="AR139" s="729"/>
      <c r="AS139" s="729"/>
      <c r="AT139" s="729"/>
      <c r="AU139" s="730"/>
    </row>
    <row r="140" spans="2:55">
      <c r="B140" s="287"/>
      <c r="N140" s="717"/>
      <c r="O140" s="717"/>
      <c r="P140" s="690"/>
      <c r="R140" s="694"/>
      <c r="S140" s="695"/>
      <c r="T140" s="700"/>
      <c r="U140" s="701"/>
      <c r="V140" s="280"/>
      <c r="W140" s="724">
        <v>1</v>
      </c>
      <c r="X140" s="725"/>
      <c r="Y140" s="708" t="s">
        <v>376</v>
      </c>
      <c r="Z140" s="708"/>
      <c r="AA140" s="708"/>
      <c r="AB140" s="708"/>
      <c r="AC140" s="688" t="s">
        <v>377</v>
      </c>
      <c r="AD140" s="688"/>
      <c r="AE140" s="687">
        <f>AU136</f>
        <v>64.033460000000005</v>
      </c>
      <c r="AF140" s="688"/>
      <c r="AG140" s="688"/>
      <c r="AH140" s="687">
        <f>AU136</f>
        <v>64.033460000000005</v>
      </c>
      <c r="AI140" s="688"/>
      <c r="AJ140" s="688"/>
      <c r="AK140" s="687">
        <f>AE140-AH140</f>
        <v>0</v>
      </c>
      <c r="AL140" s="687"/>
      <c r="AM140" s="687"/>
      <c r="AN140" s="688"/>
      <c r="AO140" s="688"/>
      <c r="AP140" s="688"/>
      <c r="AQ140" s="722"/>
      <c r="AR140" s="722"/>
      <c r="AS140" s="722"/>
      <c r="AT140" s="722"/>
      <c r="AU140" s="723"/>
    </row>
    <row r="141" spans="2:55">
      <c r="B141" s="777" t="s">
        <v>468</v>
      </c>
      <c r="C141" s="778"/>
      <c r="D141" s="779"/>
      <c r="N141" s="717" t="s">
        <v>636</v>
      </c>
      <c r="O141" s="717"/>
      <c r="P141" s="690"/>
      <c r="R141" s="694"/>
      <c r="S141" s="695"/>
      <c r="T141" s="700"/>
      <c r="U141" s="701"/>
      <c r="V141" s="280"/>
      <c r="W141" s="724">
        <v>2</v>
      </c>
      <c r="X141" s="725"/>
      <c r="Y141" s="708" t="s">
        <v>378</v>
      </c>
      <c r="Z141" s="708"/>
      <c r="AA141" s="708"/>
      <c r="AB141" s="708"/>
      <c r="AC141" s="688" t="s">
        <v>377</v>
      </c>
      <c r="AD141" s="688"/>
      <c r="AE141" s="687">
        <f>AU136</f>
        <v>64.033460000000005</v>
      </c>
      <c r="AF141" s="688"/>
      <c r="AG141" s="688"/>
      <c r="AH141" s="687">
        <f>AU136</f>
        <v>64.033460000000005</v>
      </c>
      <c r="AI141" s="688"/>
      <c r="AJ141" s="688"/>
      <c r="AK141" s="687">
        <f t="shared" ref="AK141:AK148" si="1">AE141-AH141</f>
        <v>0</v>
      </c>
      <c r="AL141" s="687"/>
      <c r="AM141" s="687"/>
      <c r="AN141" s="688"/>
      <c r="AO141" s="688"/>
      <c r="AP141" s="688"/>
      <c r="AQ141" s="722"/>
      <c r="AR141" s="722"/>
      <c r="AS141" s="722"/>
      <c r="AT141" s="722"/>
      <c r="AU141" s="723"/>
    </row>
    <row r="142" spans="2:55">
      <c r="B142" s="287"/>
      <c r="F142" s="275"/>
      <c r="G142" s="274"/>
      <c r="N142" s="717"/>
      <c r="O142" s="717"/>
      <c r="P142" s="690"/>
      <c r="R142" s="696"/>
      <c r="S142" s="697"/>
      <c r="T142" s="702"/>
      <c r="U142" s="703"/>
      <c r="V142" s="280"/>
      <c r="W142" s="724">
        <v>3</v>
      </c>
      <c r="X142" s="725"/>
      <c r="Y142" s="708" t="s">
        <v>379</v>
      </c>
      <c r="Z142" s="708"/>
      <c r="AA142" s="708"/>
      <c r="AB142" s="708"/>
      <c r="AC142" s="688" t="s">
        <v>637</v>
      </c>
      <c r="AD142" s="688"/>
      <c r="AE142" s="688">
        <v>199</v>
      </c>
      <c r="AF142" s="688"/>
      <c r="AG142" s="688"/>
      <c r="AH142" s="688">
        <f>+AW137</f>
        <v>199</v>
      </c>
      <c r="AI142" s="688"/>
      <c r="AJ142" s="688"/>
      <c r="AK142" s="687">
        <f t="shared" si="1"/>
        <v>0</v>
      </c>
      <c r="AL142" s="687"/>
      <c r="AM142" s="687"/>
      <c r="AN142" s="688"/>
      <c r="AO142" s="688"/>
      <c r="AP142" s="688"/>
      <c r="AQ142" s="722"/>
      <c r="AR142" s="722"/>
      <c r="AS142" s="722"/>
      <c r="AT142" s="722"/>
      <c r="AU142" s="723"/>
    </row>
    <row r="143" spans="2:55">
      <c r="B143" s="287"/>
      <c r="E143" s="720"/>
      <c r="F143" s="720"/>
      <c r="H143" s="719"/>
      <c r="I143" s="719"/>
      <c r="K143" s="720"/>
      <c r="L143" s="720"/>
      <c r="N143" s="717" t="s">
        <v>638</v>
      </c>
      <c r="O143" s="717"/>
      <c r="P143" s="690"/>
      <c r="R143" s="692" t="s">
        <v>452</v>
      </c>
      <c r="S143" s="693"/>
      <c r="T143" s="698"/>
      <c r="U143" s="699"/>
      <c r="V143" s="280"/>
      <c r="W143" s="724">
        <v>4</v>
      </c>
      <c r="X143" s="725"/>
      <c r="Y143" s="708" t="s">
        <v>381</v>
      </c>
      <c r="Z143" s="708"/>
      <c r="AA143" s="708"/>
      <c r="AB143" s="708"/>
      <c r="AC143" s="688" t="s">
        <v>637</v>
      </c>
      <c r="AD143" s="688"/>
      <c r="AE143" s="688">
        <v>199</v>
      </c>
      <c r="AF143" s="688"/>
      <c r="AG143" s="688"/>
      <c r="AH143" s="688">
        <f>AX137</f>
        <v>199</v>
      </c>
      <c r="AI143" s="688"/>
      <c r="AJ143" s="688"/>
      <c r="AK143" s="687">
        <f t="shared" si="1"/>
        <v>0</v>
      </c>
      <c r="AL143" s="687"/>
      <c r="AM143" s="687"/>
      <c r="AN143" s="688"/>
      <c r="AO143" s="688"/>
      <c r="AP143" s="688"/>
      <c r="AQ143" s="722"/>
      <c r="AR143" s="722"/>
      <c r="AS143" s="722"/>
      <c r="AT143" s="722"/>
      <c r="AU143" s="723"/>
    </row>
    <row r="144" spans="2:55">
      <c r="B144" s="286"/>
      <c r="C144" s="285"/>
      <c r="D144" s="294"/>
      <c r="E144" s="291"/>
      <c r="F144" s="293"/>
      <c r="G144" s="282"/>
      <c r="H144" s="289"/>
      <c r="I144" s="289"/>
      <c r="J144" s="292"/>
      <c r="K144" s="290"/>
      <c r="L144" s="289"/>
      <c r="M144" s="282"/>
      <c r="N144" s="717"/>
      <c r="O144" s="717"/>
      <c r="P144" s="690"/>
      <c r="R144" s="694"/>
      <c r="S144" s="695"/>
      <c r="T144" s="700"/>
      <c r="U144" s="701"/>
      <c r="V144" s="280"/>
      <c r="W144" s="724">
        <v>5</v>
      </c>
      <c r="X144" s="725"/>
      <c r="Y144" s="708" t="s">
        <v>468</v>
      </c>
      <c r="Z144" s="708"/>
      <c r="AA144" s="708"/>
      <c r="AB144" s="708"/>
      <c r="AC144" s="688" t="s">
        <v>637</v>
      </c>
      <c r="AD144" s="688"/>
      <c r="AE144" s="688">
        <v>199</v>
      </c>
      <c r="AF144" s="688"/>
      <c r="AG144" s="688"/>
      <c r="AH144" s="687">
        <f>AY137</f>
        <v>199</v>
      </c>
      <c r="AI144" s="688"/>
      <c r="AJ144" s="688"/>
      <c r="AK144" s="687">
        <f t="shared" si="1"/>
        <v>0</v>
      </c>
      <c r="AL144" s="687"/>
      <c r="AM144" s="687"/>
      <c r="AN144" s="688"/>
      <c r="AO144" s="688"/>
      <c r="AP144" s="688"/>
      <c r="AQ144" s="722"/>
      <c r="AR144" s="722"/>
      <c r="AS144" s="722"/>
      <c r="AT144" s="722"/>
      <c r="AU144" s="723"/>
    </row>
    <row r="145" spans="2:47">
      <c r="B145" s="780" t="s">
        <v>379</v>
      </c>
      <c r="C145" s="781"/>
      <c r="D145" s="782"/>
      <c r="E145" s="291"/>
      <c r="F145" s="291"/>
      <c r="G145" s="282"/>
      <c r="H145" s="289"/>
      <c r="I145" s="289"/>
      <c r="K145" s="290"/>
      <c r="L145" s="289"/>
      <c r="M145" s="282"/>
      <c r="N145" s="717" t="s">
        <v>639</v>
      </c>
      <c r="O145" s="717"/>
      <c r="P145" s="690"/>
      <c r="R145" s="694"/>
      <c r="S145" s="695"/>
      <c r="T145" s="700"/>
      <c r="U145" s="701"/>
      <c r="V145" s="280"/>
      <c r="W145" s="724">
        <v>6</v>
      </c>
      <c r="X145" s="725"/>
      <c r="Y145" s="708" t="s">
        <v>640</v>
      </c>
      <c r="Z145" s="708"/>
      <c r="AA145" s="708"/>
      <c r="AB145" s="708"/>
      <c r="AC145" s="688" t="s">
        <v>637</v>
      </c>
      <c r="AD145" s="688"/>
      <c r="AE145" s="688">
        <v>199</v>
      </c>
      <c r="AF145" s="688"/>
      <c r="AG145" s="688"/>
      <c r="AH145" s="687">
        <f>AZ137</f>
        <v>199</v>
      </c>
      <c r="AI145" s="688"/>
      <c r="AJ145" s="688"/>
      <c r="AK145" s="687">
        <f t="shared" si="1"/>
        <v>0</v>
      </c>
      <c r="AL145" s="687"/>
      <c r="AM145" s="687"/>
      <c r="AN145" s="688"/>
      <c r="AO145" s="688"/>
      <c r="AP145" s="688"/>
      <c r="AQ145" s="722"/>
      <c r="AR145" s="722"/>
      <c r="AS145" s="722"/>
      <c r="AT145" s="722"/>
      <c r="AU145" s="723"/>
    </row>
    <row r="146" spans="2:47">
      <c r="B146" s="286" t="s">
        <v>641</v>
      </c>
      <c r="C146" s="285"/>
      <c r="E146" s="759" t="s">
        <v>38</v>
      </c>
      <c r="F146" s="759"/>
      <c r="G146" s="288">
        <v>293</v>
      </c>
      <c r="H146" s="786" t="s">
        <v>41</v>
      </c>
      <c r="I146" s="759"/>
      <c r="J146" s="283">
        <v>391</v>
      </c>
      <c r="K146" s="787" t="s">
        <v>45</v>
      </c>
      <c r="L146" s="788"/>
      <c r="M146" s="282"/>
      <c r="N146" s="717"/>
      <c r="O146" s="717"/>
      <c r="P146" s="690"/>
      <c r="R146" s="696"/>
      <c r="S146" s="697"/>
      <c r="T146" s="702"/>
      <c r="U146" s="703"/>
      <c r="V146" s="280"/>
      <c r="W146" s="724">
        <v>7</v>
      </c>
      <c r="X146" s="725"/>
      <c r="Y146" s="708" t="s">
        <v>642</v>
      </c>
      <c r="Z146" s="708"/>
      <c r="AA146" s="708"/>
      <c r="AB146" s="708"/>
      <c r="AC146" s="688" t="s">
        <v>377</v>
      </c>
      <c r="AD146" s="688"/>
      <c r="AE146" s="687">
        <f>AU136</f>
        <v>64.033460000000005</v>
      </c>
      <c r="AF146" s="688"/>
      <c r="AG146" s="688"/>
      <c r="AH146" s="709">
        <f>BA137</f>
        <v>64.033460000000005</v>
      </c>
      <c r="AI146" s="709"/>
      <c r="AJ146" s="709"/>
      <c r="AK146" s="709">
        <f t="shared" si="1"/>
        <v>0</v>
      </c>
      <c r="AL146" s="709"/>
      <c r="AM146" s="709"/>
      <c r="AN146" s="708"/>
      <c r="AO146" s="708"/>
      <c r="AP146" s="708"/>
      <c r="AQ146" s="712"/>
      <c r="AR146" s="712"/>
      <c r="AS146" s="712"/>
      <c r="AT146" s="712"/>
      <c r="AU146" s="713"/>
    </row>
    <row r="147" spans="2:47">
      <c r="B147" s="286" t="s">
        <v>399</v>
      </c>
      <c r="C147" s="285"/>
      <c r="E147" s="682" t="s">
        <v>39</v>
      </c>
      <c r="F147" s="682"/>
      <c r="H147" s="682" t="s">
        <v>37</v>
      </c>
      <c r="I147" s="682"/>
      <c r="J147" s="283"/>
      <c r="K147" s="784" t="s">
        <v>46</v>
      </c>
      <c r="L147" s="785"/>
      <c r="M147" s="282"/>
      <c r="N147" s="717" t="s">
        <v>666</v>
      </c>
      <c r="O147" s="717"/>
      <c r="P147" s="690"/>
      <c r="R147" s="765" t="s">
        <v>667</v>
      </c>
      <c r="S147" s="765"/>
      <c r="T147" s="772"/>
      <c r="U147" s="772"/>
      <c r="V147" s="280"/>
      <c r="W147" s="724">
        <v>8</v>
      </c>
      <c r="X147" s="725"/>
      <c r="Y147" s="708" t="s">
        <v>668</v>
      </c>
      <c r="Z147" s="708"/>
      <c r="AA147" s="708"/>
      <c r="AB147" s="708"/>
      <c r="AC147" s="688" t="s">
        <v>377</v>
      </c>
      <c r="AD147" s="688"/>
      <c r="AE147" s="687">
        <f>AU136</f>
        <v>64.033460000000005</v>
      </c>
      <c r="AF147" s="688"/>
      <c r="AG147" s="688"/>
      <c r="AH147" s="709">
        <f>BB137</f>
        <v>64.033460000000005</v>
      </c>
      <c r="AI147" s="709"/>
      <c r="AJ147" s="709"/>
      <c r="AK147" s="709">
        <f t="shared" si="1"/>
        <v>0</v>
      </c>
      <c r="AL147" s="709"/>
      <c r="AM147" s="709"/>
      <c r="AN147" s="688"/>
      <c r="AO147" s="688"/>
      <c r="AP147" s="688"/>
      <c r="AQ147" s="722"/>
      <c r="AR147" s="722"/>
      <c r="AS147" s="722"/>
      <c r="AT147" s="722"/>
      <c r="AU147" s="723"/>
    </row>
    <row r="148" spans="2:47" ht="15.75" thickBot="1">
      <c r="B148" s="279"/>
      <c r="C148" s="278"/>
      <c r="D148" s="277"/>
      <c r="E148" s="278"/>
      <c r="F148" s="783" t="s">
        <v>381</v>
      </c>
      <c r="G148" s="783"/>
      <c r="H148" s="278"/>
      <c r="I148" s="278"/>
      <c r="J148" s="716" t="s">
        <v>645</v>
      </c>
      <c r="K148" s="716"/>
      <c r="L148" s="716"/>
      <c r="M148" s="277"/>
      <c r="N148" s="718"/>
      <c r="O148" s="718"/>
      <c r="P148" s="691"/>
      <c r="Q148" s="277"/>
      <c r="R148" s="766"/>
      <c r="S148" s="766"/>
      <c r="T148" s="773"/>
      <c r="U148" s="773"/>
      <c r="V148" s="276"/>
      <c r="W148" s="683">
        <v>9</v>
      </c>
      <c r="X148" s="684"/>
      <c r="Y148" s="685" t="s">
        <v>390</v>
      </c>
      <c r="Z148" s="685"/>
      <c r="AA148" s="685"/>
      <c r="AB148" s="685"/>
      <c r="AC148" s="686" t="s">
        <v>377</v>
      </c>
      <c r="AD148" s="686"/>
      <c r="AE148" s="687">
        <f>AU136</f>
        <v>64.033460000000005</v>
      </c>
      <c r="AF148" s="688"/>
      <c r="AG148" s="688"/>
      <c r="AH148" s="689">
        <f>BA137</f>
        <v>64.033460000000005</v>
      </c>
      <c r="AI148" s="686"/>
      <c r="AJ148" s="686"/>
      <c r="AK148" s="687">
        <f t="shared" si="1"/>
        <v>0</v>
      </c>
      <c r="AL148" s="687"/>
      <c r="AM148" s="687"/>
      <c r="AN148" s="686"/>
      <c r="AO148" s="686"/>
      <c r="AP148" s="686"/>
      <c r="AQ148" s="710"/>
      <c r="AR148" s="710"/>
      <c r="AS148" s="710"/>
      <c r="AT148" s="710"/>
      <c r="AU148" s="711"/>
    </row>
    <row r="151" spans="2:47">
      <c r="AH151" s="681"/>
      <c r="AI151" s="681"/>
    </row>
    <row r="153" spans="2:47">
      <c r="AH153" s="306"/>
    </row>
    <row r="155" spans="2:47">
      <c r="AH155" s="682"/>
      <c r="AI155" s="682"/>
    </row>
  </sheetData>
  <mergeCells count="727"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  <mergeCell ref="B130:C130"/>
    <mergeCell ref="E130:F130"/>
    <mergeCell ref="H130:I130"/>
    <mergeCell ref="K130:L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N130:P132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</mergeCells>
  <conditionalFormatting sqref="B5:B6 K133:K134">
    <cfRule type="containsText" dxfId="1415" priority="290" operator="containsText" text="Ere">
      <formula>NOT(ISERROR(SEARCH("Ere",B5)))</formula>
    </cfRule>
    <cfRule type="containsText" dxfId="1414" priority="289" operator="containsText" text="Str">
      <formula>NOT(ISERROR(SEARCH("Str",B5)))</formula>
    </cfRule>
    <cfRule type="containsText" dxfId="1413" priority="291" operator="containsText" text="Ear">
      <formula>NOT(ISERROR(SEARCH("Ear",B5)))</formula>
    </cfRule>
    <cfRule type="containsText" dxfId="1412" priority="292" operator="containsText" text="fnd">
      <formula>NOT(ISERROR(SEARCH("fnd",B5)))</formula>
    </cfRule>
  </conditionalFormatting>
  <conditionalFormatting sqref="B14:B15">
    <cfRule type="containsText" dxfId="1411" priority="404" operator="containsText" text="fnd">
      <formula>NOT(ISERROR(SEARCH("fnd",B14)))</formula>
    </cfRule>
    <cfRule type="containsText" dxfId="1410" priority="401" operator="containsText" text="Str">
      <formula>NOT(ISERROR(SEARCH("Str",B14)))</formula>
    </cfRule>
    <cfRule type="containsText" dxfId="1409" priority="402" operator="containsText" text="Ere">
      <formula>NOT(ISERROR(SEARCH("Ere",B14)))</formula>
    </cfRule>
    <cfRule type="containsText" dxfId="1408" priority="403" operator="containsText" text="Ear">
      <formula>NOT(ISERROR(SEARCH("Ear",B14)))</formula>
    </cfRule>
  </conditionalFormatting>
  <conditionalFormatting sqref="B23:B24">
    <cfRule type="containsText" dxfId="1407" priority="121" operator="containsText" text="Str">
      <formula>NOT(ISERROR(SEARCH("Str",B23)))</formula>
    </cfRule>
    <cfRule type="containsText" dxfId="1406" priority="122" operator="containsText" text="Ere">
      <formula>NOT(ISERROR(SEARCH("Ere",B23)))</formula>
    </cfRule>
    <cfRule type="containsText" dxfId="1405" priority="124" operator="containsText" text="fnd">
      <formula>NOT(ISERROR(SEARCH("fnd",B23)))</formula>
    </cfRule>
    <cfRule type="containsText" dxfId="1404" priority="123" operator="containsText" text="Ear">
      <formula>NOT(ISERROR(SEARCH("Ear",B23)))</formula>
    </cfRule>
  </conditionalFormatting>
  <conditionalFormatting sqref="B32 AL32 AO32 H41 K41">
    <cfRule type="containsText" dxfId="1403" priority="1370" operator="containsText" text="Ere">
      <formula>NOT(ISERROR(SEARCH("Ere",B32)))</formula>
    </cfRule>
    <cfRule type="containsText" dxfId="1402" priority="1369" operator="containsText" text="Str">
      <formula>NOT(ISERROR(SEARCH("Str",B32)))</formula>
    </cfRule>
    <cfRule type="containsText" dxfId="1401" priority="1371" operator="containsText" text="Ear">
      <formula>NOT(ISERROR(SEARCH("Ear",B32)))</formula>
    </cfRule>
    <cfRule type="containsText" dxfId="1400" priority="1372" operator="containsText" text="fnd">
      <formula>NOT(ISERROR(SEARCH("fnd",B32)))</formula>
    </cfRule>
  </conditionalFormatting>
  <conditionalFormatting sqref="B50:B51">
    <cfRule type="containsText" dxfId="1399" priority="1006" operator="containsText" text="Ere">
      <formula>NOT(ISERROR(SEARCH("Ere",B50)))</formula>
    </cfRule>
    <cfRule type="containsText" dxfId="1398" priority="1005" operator="containsText" text="Str">
      <formula>NOT(ISERROR(SEARCH("Str",B50)))</formula>
    </cfRule>
    <cfRule type="containsText" dxfId="1397" priority="1007" operator="containsText" text="Ear">
      <formula>NOT(ISERROR(SEARCH("Ear",B50)))</formula>
    </cfRule>
    <cfRule type="containsText" dxfId="1396" priority="1008" operator="containsText" text="fnd">
      <formula>NOT(ISERROR(SEARCH("fnd",B50)))</formula>
    </cfRule>
  </conditionalFormatting>
  <conditionalFormatting sqref="B68">
    <cfRule type="containsText" dxfId="1395" priority="53" operator="containsText" text="Str">
      <formula>NOT(ISERROR(SEARCH("Str",B68)))</formula>
    </cfRule>
    <cfRule type="containsText" dxfId="1394" priority="54" operator="containsText" text="Ere">
      <formula>NOT(ISERROR(SEARCH("Ere",B68)))</formula>
    </cfRule>
    <cfRule type="containsText" dxfId="1393" priority="55" operator="containsText" text="Ear">
      <formula>NOT(ISERROR(SEARCH("Ear",B68)))</formula>
    </cfRule>
    <cfRule type="containsText" dxfId="1392" priority="56" operator="containsText" text="fnd">
      <formula>NOT(ISERROR(SEARCH("fnd",B68)))</formula>
    </cfRule>
  </conditionalFormatting>
  <conditionalFormatting sqref="B77">
    <cfRule type="containsText" dxfId="1391" priority="836" operator="containsText" text="fnd">
      <formula>NOT(ISERROR(SEARCH("fnd",B77)))</formula>
    </cfRule>
    <cfRule type="containsText" dxfId="1390" priority="833" operator="containsText" text="Str">
      <formula>NOT(ISERROR(SEARCH("Str",B77)))</formula>
    </cfRule>
    <cfRule type="containsText" dxfId="1389" priority="834" operator="containsText" text="Ere">
      <formula>NOT(ISERROR(SEARCH("Ere",B77)))</formula>
    </cfRule>
    <cfRule type="containsText" dxfId="1388" priority="835" operator="containsText" text="Ear">
      <formula>NOT(ISERROR(SEARCH("Ear",B77)))</formula>
    </cfRule>
  </conditionalFormatting>
  <conditionalFormatting sqref="B96">
    <cfRule type="containsText" dxfId="1387" priority="864" operator="containsText" text="fnd">
      <formula>NOT(ISERROR(SEARCH("fnd",B96)))</formula>
    </cfRule>
    <cfRule type="containsText" dxfId="1386" priority="862" operator="containsText" text="Ere">
      <formula>NOT(ISERROR(SEARCH("Ere",B96)))</formula>
    </cfRule>
    <cfRule type="containsText" dxfId="1385" priority="863" operator="containsText" text="Ear">
      <formula>NOT(ISERROR(SEARCH("Ear",B96)))</formula>
    </cfRule>
    <cfRule type="containsText" dxfId="1384" priority="861" operator="containsText" text="Str">
      <formula>NOT(ISERROR(SEARCH("Str",B96)))</formula>
    </cfRule>
  </conditionalFormatting>
  <conditionalFormatting sqref="B113:B114">
    <cfRule type="containsText" dxfId="1383" priority="245" operator="containsText" text="Str">
      <formula>NOT(ISERROR(SEARCH("Str",B113)))</formula>
    </cfRule>
    <cfRule type="containsText" dxfId="1382" priority="246" operator="containsText" text="Ere">
      <formula>NOT(ISERROR(SEARCH("Ere",B113)))</formula>
    </cfRule>
    <cfRule type="containsText" dxfId="1381" priority="247" operator="containsText" text="Ear">
      <formula>NOT(ISERROR(SEARCH("Ear",B113)))</formula>
    </cfRule>
    <cfRule type="containsText" dxfId="1380" priority="248" operator="containsText" text="fnd">
      <formula>NOT(ISERROR(SEARCH("fnd",B113)))</formula>
    </cfRule>
  </conditionalFormatting>
  <conditionalFormatting sqref="B122">
    <cfRule type="containsText" dxfId="1379" priority="641" operator="containsText" text="Str">
      <formula>NOT(ISERROR(SEARCH("Str",B122)))</formula>
    </cfRule>
    <cfRule type="containsText" dxfId="1378" priority="643" operator="containsText" text="Ear">
      <formula>NOT(ISERROR(SEARCH("Ear",B122)))</formula>
    </cfRule>
    <cfRule type="containsText" dxfId="1377" priority="644" operator="containsText" text="fnd">
      <formula>NOT(ISERROR(SEARCH("fnd",B122)))</formula>
    </cfRule>
    <cfRule type="containsText" dxfId="1376" priority="642" operator="containsText" text="Ere">
      <formula>NOT(ISERROR(SEARCH("Ere",B122)))</formula>
    </cfRule>
  </conditionalFormatting>
  <conditionalFormatting sqref="B33:C33">
    <cfRule type="containsText" dxfId="1375" priority="1380" operator="containsText" text="fnd">
      <formula>NOT(ISERROR(SEARCH("fnd",B33)))</formula>
    </cfRule>
    <cfRule type="containsText" dxfId="1374" priority="1379" operator="containsText" text="Ear">
      <formula>NOT(ISERROR(SEARCH("Ear",B33)))</formula>
    </cfRule>
    <cfRule type="containsText" dxfId="1373" priority="1378" operator="containsText" text="Ere">
      <formula>NOT(ISERROR(SEARCH("Ere",B33)))</formula>
    </cfRule>
    <cfRule type="containsText" dxfId="1372" priority="1377" operator="containsText" text="Str">
      <formula>NOT(ISERROR(SEARCH("Str",B33)))</formula>
    </cfRule>
  </conditionalFormatting>
  <conditionalFormatting sqref="B42:C42">
    <cfRule type="containsText" dxfId="1371" priority="1012" operator="containsText" text="fnd">
      <formula>NOT(ISERROR(SEARCH("fnd",B42)))</formula>
    </cfRule>
    <cfRule type="containsText" dxfId="1370" priority="1011" operator="containsText" text="Ear">
      <formula>NOT(ISERROR(SEARCH("Ear",B42)))</formula>
    </cfRule>
    <cfRule type="containsText" dxfId="1369" priority="1010" operator="containsText" text="Ere">
      <formula>NOT(ISERROR(SEARCH("Ere",B42)))</formula>
    </cfRule>
    <cfRule type="containsText" dxfId="1368" priority="1009" operator="containsText" text="Str">
      <formula>NOT(ISERROR(SEARCH("Str",B42)))</formula>
    </cfRule>
  </conditionalFormatting>
  <conditionalFormatting sqref="B60:C60">
    <cfRule type="containsText" dxfId="1367" priority="1002" operator="containsText" text="Ere">
      <formula>NOT(ISERROR(SEARCH("Ere",B60)))</formula>
    </cfRule>
    <cfRule type="containsText" dxfId="1366" priority="1003" operator="containsText" text="Ear">
      <formula>NOT(ISERROR(SEARCH("Ear",B60)))</formula>
    </cfRule>
    <cfRule type="containsText" dxfId="1365" priority="1004" operator="containsText" text="fnd">
      <formula>NOT(ISERROR(SEARCH("fnd",B60)))</formula>
    </cfRule>
    <cfRule type="containsText" dxfId="1364" priority="1001" operator="containsText" text="Str">
      <formula>NOT(ISERROR(SEARCH("Str",B60)))</formula>
    </cfRule>
  </conditionalFormatting>
  <conditionalFormatting sqref="B69:C69">
    <cfRule type="containsText" dxfId="1363" priority="57" operator="containsText" text="Str">
      <formula>NOT(ISERROR(SEARCH("Str",B69)))</formula>
    </cfRule>
    <cfRule type="containsText" dxfId="1362" priority="58" operator="containsText" text="Ere">
      <formula>NOT(ISERROR(SEARCH("Ere",B69)))</formula>
    </cfRule>
    <cfRule type="containsText" dxfId="1361" priority="59" operator="containsText" text="Ear">
      <formula>NOT(ISERROR(SEARCH("Ear",B69)))</formula>
    </cfRule>
    <cfRule type="containsText" dxfId="1360" priority="60" operator="containsText" text="fnd">
      <formula>NOT(ISERROR(SEARCH("fnd",B69)))</formula>
    </cfRule>
  </conditionalFormatting>
  <conditionalFormatting sqref="B105:C105">
    <cfRule type="containsText" dxfId="1359" priority="994" operator="containsText" text="Ere">
      <formula>NOT(ISERROR(SEARCH("Ere",B105)))</formula>
    </cfRule>
    <cfRule type="containsText" dxfId="1358" priority="995" operator="containsText" text="Ear">
      <formula>NOT(ISERROR(SEARCH("Ear",B105)))</formula>
    </cfRule>
    <cfRule type="containsText" dxfId="1357" priority="996" operator="containsText" text="fnd">
      <formula>NOT(ISERROR(SEARCH("fnd",B105)))</formula>
    </cfRule>
    <cfRule type="containsText" dxfId="1356" priority="993" operator="containsText" text="Str">
      <formula>NOT(ISERROR(SEARCH("Str",B105)))</formula>
    </cfRule>
  </conditionalFormatting>
  <conditionalFormatting sqref="B123:C123">
    <cfRule type="containsText" dxfId="1355" priority="648" operator="containsText" text="fnd">
      <formula>NOT(ISERROR(SEARCH("fnd",B123)))</formula>
    </cfRule>
    <cfRule type="containsText" dxfId="1354" priority="647" operator="containsText" text="Ear">
      <formula>NOT(ISERROR(SEARCH("Ear",B123)))</formula>
    </cfRule>
    <cfRule type="containsText" dxfId="1353" priority="646" operator="containsText" text="Ere">
      <formula>NOT(ISERROR(SEARCH("Ere",B123)))</formula>
    </cfRule>
    <cfRule type="containsText" dxfId="1352" priority="645" operator="containsText" text="Str">
      <formula>NOT(ISERROR(SEARCH("Str",B123)))</formula>
    </cfRule>
  </conditionalFormatting>
  <conditionalFormatting sqref="B136:C136">
    <cfRule type="containsText" dxfId="1351" priority="493" operator="containsText" text="Str">
      <formula>NOT(ISERROR(SEARCH("Str",B136)))</formula>
    </cfRule>
    <cfRule type="containsText" dxfId="1350" priority="495" operator="containsText" text="Ear">
      <formula>NOT(ISERROR(SEARCH("Ear",B136)))</formula>
    </cfRule>
    <cfRule type="containsText" dxfId="1349" priority="496" operator="containsText" text="fnd">
      <formula>NOT(ISERROR(SEARCH("fnd",B136)))</formula>
    </cfRule>
    <cfRule type="containsText" dxfId="1348" priority="494" operator="containsText" text="Ere">
      <formula>NOT(ISERROR(SEARCH("Ere",B136)))</formula>
    </cfRule>
  </conditionalFormatting>
  <conditionalFormatting sqref="C6">
    <cfRule type="containsText" dxfId="1347" priority="286" operator="containsText" text="Ere">
      <formula>NOT(ISERROR(SEARCH("Ere",C6)))</formula>
    </cfRule>
    <cfRule type="containsText" dxfId="1346" priority="285" operator="containsText" text="Str">
      <formula>NOT(ISERROR(SEARCH("Str",C6)))</formula>
    </cfRule>
    <cfRule type="containsText" dxfId="1345" priority="288" operator="containsText" text="fnd">
      <formula>NOT(ISERROR(SEARCH("fnd",C6)))</formula>
    </cfRule>
    <cfRule type="containsText" dxfId="1344" priority="287" operator="containsText" text="Ear">
      <formula>NOT(ISERROR(SEARCH("Ear",C6)))</formula>
    </cfRule>
  </conditionalFormatting>
  <conditionalFormatting sqref="C15">
    <cfRule type="containsText" dxfId="1343" priority="400" operator="containsText" text="fnd">
      <formula>NOT(ISERROR(SEARCH("fnd",C15)))</formula>
    </cfRule>
    <cfRule type="containsText" dxfId="1342" priority="398" operator="containsText" text="Ere">
      <formula>NOT(ISERROR(SEARCH("Ere",C15)))</formula>
    </cfRule>
    <cfRule type="containsText" dxfId="1341" priority="399" operator="containsText" text="Ear">
      <formula>NOT(ISERROR(SEARCH("Ear",C15)))</formula>
    </cfRule>
    <cfRule type="containsText" dxfId="1340" priority="397" operator="containsText" text="Str">
      <formula>NOT(ISERROR(SEARCH("Str",C15)))</formula>
    </cfRule>
  </conditionalFormatting>
  <conditionalFormatting sqref="C24">
    <cfRule type="containsText" dxfId="1339" priority="120" operator="containsText" text="fnd">
      <formula>NOT(ISERROR(SEARCH("fnd",C24)))</formula>
    </cfRule>
    <cfRule type="containsText" dxfId="1338" priority="119" operator="containsText" text="Ear">
      <formula>NOT(ISERROR(SEARCH("Ear",C24)))</formula>
    </cfRule>
    <cfRule type="containsText" dxfId="1337" priority="118" operator="containsText" text="Ere">
      <formula>NOT(ISERROR(SEARCH("Ere",C24)))</formula>
    </cfRule>
    <cfRule type="containsText" dxfId="1336" priority="117" operator="containsText" text="Str">
      <formula>NOT(ISERROR(SEARCH("Str",C24)))</formula>
    </cfRule>
  </conditionalFormatting>
  <conditionalFormatting sqref="C51">
    <cfRule type="containsText" dxfId="1335" priority="1013" operator="containsText" text="Str">
      <formula>NOT(ISERROR(SEARCH("Str",C51)))</formula>
    </cfRule>
    <cfRule type="containsText" dxfId="1334" priority="1014" operator="containsText" text="Ere">
      <formula>NOT(ISERROR(SEARCH("Ere",C51)))</formula>
    </cfRule>
    <cfRule type="containsText" dxfId="1333" priority="1016" operator="containsText" text="fnd">
      <formula>NOT(ISERROR(SEARCH("fnd",C51)))</formula>
    </cfRule>
    <cfRule type="containsText" dxfId="1332" priority="1015" operator="containsText" text="Ear">
      <formula>NOT(ISERROR(SEARCH("Ear",C51)))</formula>
    </cfRule>
  </conditionalFormatting>
  <conditionalFormatting sqref="C87">
    <cfRule type="containsText" dxfId="1331" priority="998" operator="containsText" text="Ere">
      <formula>NOT(ISERROR(SEARCH("Ere",C87)))</formula>
    </cfRule>
    <cfRule type="containsText" dxfId="1330" priority="997" operator="containsText" text="Str">
      <formula>NOT(ISERROR(SEARCH("Str",C87)))</formula>
    </cfRule>
    <cfRule type="containsText" dxfId="1329" priority="1000" operator="containsText" text="fnd">
      <formula>NOT(ISERROR(SEARCH("fnd",C87)))</formula>
    </cfRule>
    <cfRule type="containsText" dxfId="1328" priority="999" operator="containsText" text="Ear">
      <formula>NOT(ISERROR(SEARCH("Ear",C87)))</formula>
    </cfRule>
  </conditionalFormatting>
  <conditionalFormatting sqref="E5:E6">
    <cfRule type="containsText" dxfId="1327" priority="357" operator="containsText" text="Str">
      <formula>NOT(ISERROR(SEARCH("Str",E5)))</formula>
    </cfRule>
    <cfRule type="containsText" dxfId="1326" priority="358" operator="containsText" text="Ere">
      <formula>NOT(ISERROR(SEARCH("Ere",E5)))</formula>
    </cfRule>
    <cfRule type="containsText" dxfId="1325" priority="359" operator="containsText" text="Ear">
      <formula>NOT(ISERROR(SEARCH("Ear",E5)))</formula>
    </cfRule>
    <cfRule type="containsText" dxfId="1324" priority="360" operator="containsText" text="fnd">
      <formula>NOT(ISERROR(SEARCH("fnd",E5)))</formula>
    </cfRule>
  </conditionalFormatting>
  <conditionalFormatting sqref="E14:E15">
    <cfRule type="containsText" dxfId="1323" priority="305" operator="containsText" text="Str">
      <formula>NOT(ISERROR(SEARCH("Str",E14)))</formula>
    </cfRule>
    <cfRule type="containsText" dxfId="1322" priority="308" operator="containsText" text="fnd">
      <formula>NOT(ISERROR(SEARCH("fnd",E14)))</formula>
    </cfRule>
    <cfRule type="containsText" dxfId="1321" priority="307" operator="containsText" text="Ear">
      <formula>NOT(ISERROR(SEARCH("Ear",E14)))</formula>
    </cfRule>
    <cfRule type="containsText" dxfId="1320" priority="306" operator="containsText" text="Ere">
      <formula>NOT(ISERROR(SEARCH("Ere",E14)))</formula>
    </cfRule>
  </conditionalFormatting>
  <conditionalFormatting sqref="E23:E24">
    <cfRule type="containsText" dxfId="1319" priority="706" operator="containsText" text="Ere">
      <formula>NOT(ISERROR(SEARCH("Ere",E23)))</formula>
    </cfRule>
    <cfRule type="containsText" dxfId="1318" priority="708" operator="containsText" text="fnd">
      <formula>NOT(ISERROR(SEARCH("fnd",E23)))</formula>
    </cfRule>
    <cfRule type="containsText" dxfId="1317" priority="705" operator="containsText" text="Str">
      <formula>NOT(ISERROR(SEARCH("Str",E23)))</formula>
    </cfRule>
    <cfRule type="containsText" dxfId="1316" priority="707" operator="containsText" text="Ear">
      <formula>NOT(ISERROR(SEARCH("Ear",E23)))</formula>
    </cfRule>
  </conditionalFormatting>
  <conditionalFormatting sqref="E32">
    <cfRule type="containsText" dxfId="1315" priority="215" operator="containsText" text="Ear">
      <formula>NOT(ISERROR(SEARCH("Ear",E32)))</formula>
    </cfRule>
    <cfRule type="containsText" dxfId="1314" priority="213" operator="containsText" text="Str">
      <formula>NOT(ISERROR(SEARCH("Str",E32)))</formula>
    </cfRule>
    <cfRule type="containsText" dxfId="1313" priority="214" operator="containsText" text="Ere">
      <formula>NOT(ISERROR(SEARCH("Ere",E32)))</formula>
    </cfRule>
    <cfRule type="containsText" dxfId="1312" priority="216" operator="containsText" text="fnd">
      <formula>NOT(ISERROR(SEARCH("fnd",E32)))</formula>
    </cfRule>
  </conditionalFormatting>
  <conditionalFormatting sqref="E41:E42">
    <cfRule type="containsText" dxfId="1311" priority="1032" operator="containsText" text="fnd">
      <formula>NOT(ISERROR(SEARCH("fnd",E41)))</formula>
    </cfRule>
    <cfRule type="containsText" dxfId="1310" priority="1031" operator="containsText" text="Ear">
      <formula>NOT(ISERROR(SEARCH("Ear",E41)))</formula>
    </cfRule>
    <cfRule type="containsText" dxfId="1309" priority="1029" operator="containsText" text="Str">
      <formula>NOT(ISERROR(SEARCH("Str",E41)))</formula>
    </cfRule>
    <cfRule type="containsText" dxfId="1308" priority="1030" operator="containsText" text="Ere">
      <formula>NOT(ISERROR(SEARCH("Ere",E41)))</formula>
    </cfRule>
  </conditionalFormatting>
  <conditionalFormatting sqref="E50">
    <cfRule type="containsText" dxfId="1307" priority="1198" operator="containsText" text="Ere">
      <formula>NOT(ISERROR(SEARCH("Ere",E50)))</formula>
    </cfRule>
    <cfRule type="containsText" dxfId="1306" priority="1200" operator="containsText" text="fnd">
      <formula>NOT(ISERROR(SEARCH("fnd",E50)))</formula>
    </cfRule>
    <cfRule type="containsText" dxfId="1305" priority="1197" operator="containsText" text="Str">
      <formula>NOT(ISERROR(SEARCH("Str",E50)))</formula>
    </cfRule>
    <cfRule type="containsText" dxfId="1304" priority="1199" operator="containsText" text="Ear">
      <formula>NOT(ISERROR(SEARCH("Ear",E50)))</formula>
    </cfRule>
  </conditionalFormatting>
  <conditionalFormatting sqref="E59:E60">
    <cfRule type="containsText" dxfId="1303" priority="816" operator="containsText" text="fnd">
      <formula>NOT(ISERROR(SEARCH("fnd",E59)))</formula>
    </cfRule>
    <cfRule type="containsText" dxfId="1302" priority="815" operator="containsText" text="Ear">
      <formula>NOT(ISERROR(SEARCH("Ear",E59)))</formula>
    </cfRule>
    <cfRule type="containsText" dxfId="1301" priority="814" operator="containsText" text="Ere">
      <formula>NOT(ISERROR(SEARCH("Ere",E59)))</formula>
    </cfRule>
    <cfRule type="containsText" dxfId="1300" priority="813" operator="containsText" text="Str">
      <formula>NOT(ISERROR(SEARCH("Str",E59)))</formula>
    </cfRule>
  </conditionalFormatting>
  <conditionalFormatting sqref="E68">
    <cfRule type="containsText" dxfId="1299" priority="30" operator="containsText" text="Ere">
      <formula>NOT(ISERROR(SEARCH("Ere",E68)))</formula>
    </cfRule>
    <cfRule type="containsText" dxfId="1298" priority="32" operator="containsText" text="fnd">
      <formula>NOT(ISERROR(SEARCH("fnd",E68)))</formula>
    </cfRule>
    <cfRule type="containsText" dxfId="1297" priority="29" operator="containsText" text="Str">
      <formula>NOT(ISERROR(SEARCH("Str",E68)))</formula>
    </cfRule>
    <cfRule type="containsText" dxfId="1296" priority="31" operator="containsText" text="Ear">
      <formula>NOT(ISERROR(SEARCH("Ear",E68)))</formula>
    </cfRule>
  </conditionalFormatting>
  <conditionalFormatting sqref="E77">
    <cfRule type="containsText" dxfId="1295" priority="949" operator="containsText" text="Str">
      <formula>NOT(ISERROR(SEARCH("Str",E77)))</formula>
    </cfRule>
    <cfRule type="containsText" dxfId="1294" priority="950" operator="containsText" text="Ere">
      <formula>NOT(ISERROR(SEARCH("Ere",E77)))</formula>
    </cfRule>
    <cfRule type="containsText" dxfId="1293" priority="951" operator="containsText" text="Ear">
      <formula>NOT(ISERROR(SEARCH("Ear",E77)))</formula>
    </cfRule>
    <cfRule type="containsText" dxfId="1292" priority="952" operator="containsText" text="fnd">
      <formula>NOT(ISERROR(SEARCH("fnd",E77)))</formula>
    </cfRule>
  </conditionalFormatting>
  <conditionalFormatting sqref="E96">
    <cfRule type="containsText" dxfId="1291" priority="876" operator="containsText" text="fnd">
      <formula>NOT(ISERROR(SEARCH("fnd",E96)))</formula>
    </cfRule>
    <cfRule type="containsText" dxfId="1290" priority="875" operator="containsText" text="Ear">
      <formula>NOT(ISERROR(SEARCH("Ear",E96)))</formula>
    </cfRule>
    <cfRule type="containsText" dxfId="1289" priority="874" operator="containsText" text="Ere">
      <formula>NOT(ISERROR(SEARCH("Ere",E96)))</formula>
    </cfRule>
    <cfRule type="containsText" dxfId="1288" priority="873" operator="containsText" text="Str">
      <formula>NOT(ISERROR(SEARCH("Str",E96)))</formula>
    </cfRule>
  </conditionalFormatting>
  <conditionalFormatting sqref="E104">
    <cfRule type="containsText" dxfId="1287" priority="892" operator="containsText" text="fnd">
      <formula>NOT(ISERROR(SEARCH("fnd",E104)))</formula>
    </cfRule>
    <cfRule type="containsText" dxfId="1286" priority="889" operator="containsText" text="Str">
      <formula>NOT(ISERROR(SEARCH("Str",E104)))</formula>
    </cfRule>
    <cfRule type="containsText" dxfId="1285" priority="890" operator="containsText" text="Ere">
      <formula>NOT(ISERROR(SEARCH("Ere",E104)))</formula>
    </cfRule>
    <cfRule type="containsText" dxfId="1284" priority="891" operator="containsText" text="Ear">
      <formula>NOT(ISERROR(SEARCH("Ear",E104)))</formula>
    </cfRule>
  </conditionalFormatting>
  <conditionalFormatting sqref="E113">
    <cfRule type="containsText" dxfId="1283" priority="725" operator="containsText" text="Str">
      <formula>NOT(ISERROR(SEARCH("Str",E113)))</formula>
    </cfRule>
    <cfRule type="containsText" dxfId="1282" priority="728" operator="containsText" text="fnd">
      <formula>NOT(ISERROR(SEARCH("fnd",E113)))</formula>
    </cfRule>
    <cfRule type="containsText" dxfId="1281" priority="726" operator="containsText" text="Ere">
      <formula>NOT(ISERROR(SEARCH("Ere",E113)))</formula>
    </cfRule>
    <cfRule type="containsText" dxfId="1280" priority="727" operator="containsText" text="Ear">
      <formula>NOT(ISERROR(SEARCH("Ear",E113)))</formula>
    </cfRule>
  </conditionalFormatting>
  <conditionalFormatting sqref="E122">
    <cfRule type="containsText" dxfId="1279" priority="470" operator="containsText" text="Ere">
      <formula>NOT(ISERROR(SEARCH("Ere",E122)))</formula>
    </cfRule>
    <cfRule type="containsText" dxfId="1278" priority="469" operator="containsText" text="Str">
      <formula>NOT(ISERROR(SEARCH("Str",E122)))</formula>
    </cfRule>
    <cfRule type="containsText" dxfId="1277" priority="472" operator="containsText" text="fnd">
      <formula>NOT(ISERROR(SEARCH("fnd",E122)))</formula>
    </cfRule>
    <cfRule type="containsText" dxfId="1276" priority="471" operator="containsText" text="Ear">
      <formula>NOT(ISERROR(SEARCH("Ear",E122)))</formula>
    </cfRule>
  </conditionalFormatting>
  <conditionalFormatting sqref="E131:E134">
    <cfRule type="containsText" dxfId="1275" priority="921" operator="containsText" text="Str">
      <formula>NOT(ISERROR(SEARCH("Str",E131)))</formula>
    </cfRule>
    <cfRule type="containsText" dxfId="1274" priority="922" operator="containsText" text="Ere">
      <formula>NOT(ISERROR(SEARCH("Ere",E131)))</formula>
    </cfRule>
    <cfRule type="containsText" dxfId="1273" priority="923" operator="containsText" text="Ear">
      <formula>NOT(ISERROR(SEARCH("Ear",E131)))</formula>
    </cfRule>
    <cfRule type="containsText" dxfId="1272" priority="924" operator="containsText" text="fnd">
      <formula>NOT(ISERROR(SEARCH("fnd",E131)))</formula>
    </cfRule>
  </conditionalFormatting>
  <conditionalFormatting sqref="E136">
    <cfRule type="containsText" dxfId="1271" priority="281" operator="containsText" text="Str">
      <formula>NOT(ISERROR(SEARCH("Str",E136)))</formula>
    </cfRule>
    <cfRule type="containsText" dxfId="1270" priority="282" operator="containsText" text="Ere">
      <formula>NOT(ISERROR(SEARCH("Ere",E136)))</formula>
    </cfRule>
    <cfRule type="containsText" dxfId="1269" priority="283" operator="containsText" text="Ear">
      <formula>NOT(ISERROR(SEARCH("Ear",E136)))</formula>
    </cfRule>
    <cfRule type="containsText" dxfId="1268" priority="284" operator="containsText" text="fnd">
      <formula>NOT(ISERROR(SEARCH("fnd",E136)))</formula>
    </cfRule>
  </conditionalFormatting>
  <conditionalFormatting sqref="E144">
    <cfRule type="containsText" dxfId="1267" priority="1062" operator="containsText" text="Ere">
      <formula>NOT(ISERROR(SEARCH("Ere",E144)))</formula>
    </cfRule>
    <cfRule type="containsText" dxfId="1266" priority="1063" operator="containsText" text="Ear">
      <formula>NOT(ISERROR(SEARCH("Ear",E144)))</formula>
    </cfRule>
    <cfRule type="containsText" dxfId="1265" priority="1064" operator="containsText" text="fnd">
      <formula>NOT(ISERROR(SEARCH("fnd",E144)))</formula>
    </cfRule>
    <cfRule type="containsText" dxfId="1264" priority="1061" operator="containsText" text="Str">
      <formula>NOT(ISERROR(SEARCH("Str",E144)))</formula>
    </cfRule>
  </conditionalFormatting>
  <conditionalFormatting sqref="E33:F33">
    <cfRule type="containsText" dxfId="1263" priority="220" operator="containsText" text="fnd">
      <formula>NOT(ISERROR(SEARCH("fnd",E33)))</formula>
    </cfRule>
    <cfRule type="containsText" dxfId="1262" priority="217" operator="containsText" text="Str">
      <formula>NOT(ISERROR(SEARCH("Str",E33)))</formula>
    </cfRule>
    <cfRule type="containsText" dxfId="1261" priority="218" operator="containsText" text="Ere">
      <formula>NOT(ISERROR(SEARCH("Ere",E33)))</formula>
    </cfRule>
    <cfRule type="containsText" dxfId="1260" priority="219" operator="containsText" text="Ear">
      <formula>NOT(ISERROR(SEARCH("Ear",E33)))</formula>
    </cfRule>
  </conditionalFormatting>
  <conditionalFormatting sqref="E51:F51">
    <cfRule type="containsText" dxfId="1259" priority="1313" operator="containsText" text="Str">
      <formula>NOT(ISERROR(SEARCH("Str",E51)))</formula>
    </cfRule>
    <cfRule type="containsText" dxfId="1258" priority="1316" operator="containsText" text="fnd">
      <formula>NOT(ISERROR(SEARCH("fnd",E51)))</formula>
    </cfRule>
    <cfRule type="containsText" dxfId="1257" priority="1315" operator="containsText" text="Ear">
      <formula>NOT(ISERROR(SEARCH("Ear",E51)))</formula>
    </cfRule>
    <cfRule type="containsText" dxfId="1256" priority="1314" operator="containsText" text="Ere">
      <formula>NOT(ISERROR(SEARCH("Ere",E51)))</formula>
    </cfRule>
  </conditionalFormatting>
  <conditionalFormatting sqref="E69:F69">
    <cfRule type="containsText" dxfId="1255" priority="36" operator="containsText" text="fnd">
      <formula>NOT(ISERROR(SEARCH("fnd",E69)))</formula>
    </cfRule>
    <cfRule type="containsText" dxfId="1254" priority="35" operator="containsText" text="Ear">
      <formula>NOT(ISERROR(SEARCH("Ear",E69)))</formula>
    </cfRule>
    <cfRule type="containsText" dxfId="1253" priority="34" operator="containsText" text="Ere">
      <formula>NOT(ISERROR(SEARCH("Ere",E69)))</formula>
    </cfRule>
    <cfRule type="containsText" dxfId="1252" priority="33" operator="containsText" text="Str">
      <formula>NOT(ISERROR(SEARCH("Str",E69)))</formula>
    </cfRule>
  </conditionalFormatting>
  <conditionalFormatting sqref="E105:F105">
    <cfRule type="containsText" dxfId="1251" priority="895" operator="containsText" text="Ear">
      <formula>NOT(ISERROR(SEARCH("Ear",E105)))</formula>
    </cfRule>
    <cfRule type="containsText" dxfId="1250" priority="893" operator="containsText" text="Str">
      <formula>NOT(ISERROR(SEARCH("Str",E105)))</formula>
    </cfRule>
    <cfRule type="containsText" dxfId="1249" priority="894" operator="containsText" text="Ere">
      <formula>NOT(ISERROR(SEARCH("Ere",E105)))</formula>
    </cfRule>
    <cfRule type="containsText" dxfId="1248" priority="896" operator="containsText" text="fnd">
      <formula>NOT(ISERROR(SEARCH("fnd",E105)))</formula>
    </cfRule>
  </conditionalFormatting>
  <conditionalFormatting sqref="E114:F114">
    <cfRule type="containsText" dxfId="1247" priority="729" operator="containsText" text="Str">
      <formula>NOT(ISERROR(SEARCH("Str",E114)))</formula>
    </cfRule>
    <cfRule type="containsText" dxfId="1246" priority="730" operator="containsText" text="Ere">
      <formula>NOT(ISERROR(SEARCH("Ere",E114)))</formula>
    </cfRule>
    <cfRule type="containsText" dxfId="1245" priority="731" operator="containsText" text="Ear">
      <formula>NOT(ISERROR(SEARCH("Ear",E114)))</formula>
    </cfRule>
    <cfRule type="containsText" dxfId="1244" priority="732" operator="containsText" text="fnd">
      <formula>NOT(ISERROR(SEARCH("fnd",E114)))</formula>
    </cfRule>
  </conditionalFormatting>
  <conditionalFormatting sqref="E123:F123">
    <cfRule type="containsText" dxfId="1243" priority="474" operator="containsText" text="Ere">
      <formula>NOT(ISERROR(SEARCH("Ere",E123)))</formula>
    </cfRule>
    <cfRule type="containsText" dxfId="1242" priority="473" operator="containsText" text="Str">
      <formula>NOT(ISERROR(SEARCH("Str",E123)))</formula>
    </cfRule>
    <cfRule type="containsText" dxfId="1241" priority="476" operator="containsText" text="fnd">
      <formula>NOT(ISERROR(SEARCH("fnd",E123)))</formula>
    </cfRule>
    <cfRule type="containsText" dxfId="1240" priority="475" operator="containsText" text="Ear">
      <formula>NOT(ISERROR(SEARCH("Ear",E123)))</formula>
    </cfRule>
  </conditionalFormatting>
  <conditionalFormatting sqref="E145:F145">
    <cfRule type="containsText" dxfId="1239" priority="1068" operator="containsText" text="fnd">
      <formula>NOT(ISERROR(SEARCH("fnd",E145)))</formula>
    </cfRule>
    <cfRule type="containsText" dxfId="1238" priority="1067" operator="containsText" text="Ear">
      <formula>NOT(ISERROR(SEARCH("Ear",E145)))</formula>
    </cfRule>
    <cfRule type="containsText" dxfId="1237" priority="1066" operator="containsText" text="Ere">
      <formula>NOT(ISERROR(SEARCH("Ere",E145)))</formula>
    </cfRule>
    <cfRule type="containsText" dxfId="1236" priority="1065" operator="containsText" text="Str">
      <formula>NOT(ISERROR(SEARCH("Str",E145)))</formula>
    </cfRule>
  </conditionalFormatting>
  <conditionalFormatting sqref="F6">
    <cfRule type="containsText" dxfId="1235" priority="356" operator="containsText" text="fnd">
      <formula>NOT(ISERROR(SEARCH("fnd",F6)))</formula>
    </cfRule>
    <cfRule type="containsText" dxfId="1234" priority="354" operator="containsText" text="Ere">
      <formula>NOT(ISERROR(SEARCH("Ere",F6)))</formula>
    </cfRule>
    <cfRule type="containsText" dxfId="1233" priority="353" operator="containsText" text="Str">
      <formula>NOT(ISERROR(SEARCH("Str",F6)))</formula>
    </cfRule>
    <cfRule type="containsText" dxfId="1232" priority="355" operator="containsText" text="Ear">
      <formula>NOT(ISERROR(SEARCH("Ear",F6)))</formula>
    </cfRule>
  </conditionalFormatting>
  <conditionalFormatting sqref="F15">
    <cfRule type="containsText" dxfId="1231" priority="304" operator="containsText" text="fnd">
      <formula>NOT(ISERROR(SEARCH("fnd",F15)))</formula>
    </cfRule>
    <cfRule type="containsText" dxfId="1230" priority="302" operator="containsText" text="Ere">
      <formula>NOT(ISERROR(SEARCH("Ere",F15)))</formula>
    </cfRule>
    <cfRule type="containsText" dxfId="1229" priority="301" operator="containsText" text="Str">
      <formula>NOT(ISERROR(SEARCH("Str",F15)))</formula>
    </cfRule>
    <cfRule type="containsText" dxfId="1228" priority="303" operator="containsText" text="Ear">
      <formula>NOT(ISERROR(SEARCH("Ear",F15)))</formula>
    </cfRule>
  </conditionalFormatting>
  <conditionalFormatting sqref="F24">
    <cfRule type="containsText" dxfId="1227" priority="704" operator="containsText" text="fnd">
      <formula>NOT(ISERROR(SEARCH("fnd",F24)))</formula>
    </cfRule>
    <cfRule type="containsText" dxfId="1226" priority="703" operator="containsText" text="Ear">
      <formula>NOT(ISERROR(SEARCH("Ear",F24)))</formula>
    </cfRule>
    <cfRule type="containsText" dxfId="1225" priority="701" operator="containsText" text="Str">
      <formula>NOT(ISERROR(SEARCH("Str",F24)))</formula>
    </cfRule>
    <cfRule type="containsText" dxfId="1224" priority="702" operator="containsText" text="Ere">
      <formula>NOT(ISERROR(SEARCH("Ere",F24)))</formula>
    </cfRule>
  </conditionalFormatting>
  <conditionalFormatting sqref="F42">
    <cfRule type="containsText" dxfId="1223" priority="1027" operator="containsText" text="Ear">
      <formula>NOT(ISERROR(SEARCH("Ear",F42)))</formula>
    </cfRule>
    <cfRule type="containsText" dxfId="1222" priority="1026" operator="containsText" text="Ere">
      <formula>NOT(ISERROR(SEARCH("Ere",F42)))</formula>
    </cfRule>
    <cfRule type="containsText" dxfId="1221" priority="1028" operator="containsText" text="fnd">
      <formula>NOT(ISERROR(SEARCH("fnd",F42)))</formula>
    </cfRule>
    <cfRule type="containsText" dxfId="1220" priority="1025" operator="containsText" text="Str">
      <formula>NOT(ISERROR(SEARCH("Str",F42)))</formula>
    </cfRule>
  </conditionalFormatting>
  <conditionalFormatting sqref="F60">
    <cfRule type="containsText" dxfId="1219" priority="810" operator="containsText" text="Ere">
      <formula>NOT(ISERROR(SEARCH("Ere",F60)))</formula>
    </cfRule>
    <cfRule type="containsText" dxfId="1218" priority="812" operator="containsText" text="fnd">
      <formula>NOT(ISERROR(SEARCH("fnd",F60)))</formula>
    </cfRule>
    <cfRule type="containsText" dxfId="1217" priority="811" operator="containsText" text="Ear">
      <formula>NOT(ISERROR(SEARCH("Ear",F60)))</formula>
    </cfRule>
    <cfRule type="containsText" dxfId="1216" priority="809" operator="containsText" text="Str">
      <formula>NOT(ISERROR(SEARCH("Str",F60)))</formula>
    </cfRule>
  </conditionalFormatting>
  <conditionalFormatting sqref="F87">
    <cfRule type="containsText" dxfId="1215" priority="823" operator="containsText" text="Ear">
      <formula>NOT(ISERROR(SEARCH("Ear",F87)))</formula>
    </cfRule>
    <cfRule type="containsText" dxfId="1214" priority="821" operator="containsText" text="Str">
      <formula>NOT(ISERROR(SEARCH("Str",F87)))</formula>
    </cfRule>
    <cfRule type="containsText" dxfId="1213" priority="824" operator="containsText" text="fnd">
      <formula>NOT(ISERROR(SEARCH("fnd",F87)))</formula>
    </cfRule>
    <cfRule type="containsText" dxfId="1212" priority="822" operator="containsText" text="Ere">
      <formula>NOT(ISERROR(SEARCH("Ere",F87)))</formula>
    </cfRule>
  </conditionalFormatting>
  <conditionalFormatting sqref="H5:H6">
    <cfRule type="containsText" dxfId="1211" priority="186" operator="containsText" text="Ere">
      <formula>NOT(ISERROR(SEARCH("Ere",H5)))</formula>
    </cfRule>
    <cfRule type="containsText" dxfId="1210" priority="188" operator="containsText" text="fnd">
      <formula>NOT(ISERROR(SEARCH("fnd",H5)))</formula>
    </cfRule>
    <cfRule type="containsText" dxfId="1209" priority="187" operator="containsText" text="Ear">
      <formula>NOT(ISERROR(SEARCH("Ear",H5)))</formula>
    </cfRule>
    <cfRule type="containsText" dxfId="1208" priority="185" operator="containsText" text="Str">
      <formula>NOT(ISERROR(SEARCH("Str",H5)))</formula>
    </cfRule>
  </conditionalFormatting>
  <conditionalFormatting sqref="H14:H15">
    <cfRule type="containsText" dxfId="1207" priority="380" operator="containsText" text="fnd">
      <formula>NOT(ISERROR(SEARCH("fnd",H14)))</formula>
    </cfRule>
    <cfRule type="containsText" dxfId="1206" priority="379" operator="containsText" text="Ear">
      <formula>NOT(ISERROR(SEARCH("Ear",H14)))</formula>
    </cfRule>
    <cfRule type="containsText" dxfId="1205" priority="378" operator="containsText" text="Ere">
      <formula>NOT(ISERROR(SEARCH("Ere",H14)))</formula>
    </cfRule>
    <cfRule type="containsText" dxfId="1204" priority="377" operator="containsText" text="Str">
      <formula>NOT(ISERROR(SEARCH("Str",H14)))</formula>
    </cfRule>
  </conditionalFormatting>
  <conditionalFormatting sqref="H23:H24">
    <cfRule type="containsText" dxfId="1203" priority="697" operator="containsText" text="Str">
      <formula>NOT(ISERROR(SEARCH("Str",H23)))</formula>
    </cfRule>
    <cfRule type="containsText" dxfId="1202" priority="698" operator="containsText" text="Ere">
      <formula>NOT(ISERROR(SEARCH("Ere",H23)))</formula>
    </cfRule>
    <cfRule type="containsText" dxfId="1201" priority="699" operator="containsText" text="Ear">
      <formula>NOT(ISERROR(SEARCH("Ear",H23)))</formula>
    </cfRule>
    <cfRule type="containsText" dxfId="1200" priority="700" operator="containsText" text="fnd">
      <formula>NOT(ISERROR(SEARCH("fnd",H23)))</formula>
    </cfRule>
  </conditionalFormatting>
  <conditionalFormatting sqref="H32">
    <cfRule type="containsText" dxfId="1199" priority="229" operator="containsText" text="Str">
      <formula>NOT(ISERROR(SEARCH("Str",H32)))</formula>
    </cfRule>
    <cfRule type="containsText" dxfId="1198" priority="230" operator="containsText" text="Ere">
      <formula>NOT(ISERROR(SEARCH("Ere",H32)))</formula>
    </cfRule>
    <cfRule type="containsText" dxfId="1197" priority="231" operator="containsText" text="Ear">
      <formula>NOT(ISERROR(SEARCH("Ear",H32)))</formula>
    </cfRule>
    <cfRule type="containsText" dxfId="1196" priority="232" operator="containsText" text="fnd">
      <formula>NOT(ISERROR(SEARCH("fnd",H32)))</formula>
    </cfRule>
  </conditionalFormatting>
  <conditionalFormatting sqref="H50">
    <cfRule type="containsText" dxfId="1195" priority="1223" operator="containsText" text="Ear">
      <formula>NOT(ISERROR(SEARCH("Ear",H50)))</formula>
    </cfRule>
    <cfRule type="containsText" dxfId="1194" priority="1224" operator="containsText" text="fnd">
      <formula>NOT(ISERROR(SEARCH("fnd",H50)))</formula>
    </cfRule>
    <cfRule type="containsText" dxfId="1193" priority="1222" operator="containsText" text="Ere">
      <formula>NOT(ISERROR(SEARCH("Ere",H50)))</formula>
    </cfRule>
    <cfRule type="containsText" dxfId="1192" priority="1221" operator="containsText" text="Str">
      <formula>NOT(ISERROR(SEARCH("Str",H50)))</formula>
    </cfRule>
  </conditionalFormatting>
  <conditionalFormatting sqref="H68">
    <cfRule type="containsText" dxfId="1191" priority="651" operator="containsText" text="Ear">
      <formula>NOT(ISERROR(SEARCH("Ear",H68)))</formula>
    </cfRule>
    <cfRule type="containsText" dxfId="1190" priority="652" operator="containsText" text="fnd">
      <formula>NOT(ISERROR(SEARCH("fnd",H68)))</formula>
    </cfRule>
    <cfRule type="containsText" dxfId="1189" priority="649" operator="containsText" text="Str">
      <formula>NOT(ISERROR(SEARCH("Str",H68)))</formula>
    </cfRule>
    <cfRule type="containsText" dxfId="1188" priority="650" operator="containsText" text="Ere">
      <formula>NOT(ISERROR(SEARCH("Ere",H68)))</formula>
    </cfRule>
  </conditionalFormatting>
  <conditionalFormatting sqref="H77">
    <cfRule type="containsText" dxfId="1187" priority="1180" operator="containsText" text="fnd">
      <formula>NOT(ISERROR(SEARCH("fnd",H77)))</formula>
    </cfRule>
    <cfRule type="containsText" dxfId="1186" priority="1177" operator="containsText" text="Str">
      <formula>NOT(ISERROR(SEARCH("Str",H77)))</formula>
    </cfRule>
    <cfRule type="containsText" dxfId="1185" priority="1178" operator="containsText" text="Ere">
      <formula>NOT(ISERROR(SEARCH("Ere",H77)))</formula>
    </cfRule>
    <cfRule type="containsText" dxfId="1184" priority="1179" operator="containsText" text="Ear">
      <formula>NOT(ISERROR(SEARCH("Ear",H77)))</formula>
    </cfRule>
  </conditionalFormatting>
  <conditionalFormatting sqref="H96 K96:L96 N96:O96">
    <cfRule type="containsText" dxfId="1183" priority="1281" operator="containsText" text="Str">
      <formula>NOT(ISERROR(SEARCH("Str",H96)))</formula>
    </cfRule>
    <cfRule type="containsText" dxfId="1182" priority="1283" operator="containsText" text="Ear">
      <formula>NOT(ISERROR(SEARCH("Ear",H96)))</formula>
    </cfRule>
    <cfRule type="containsText" dxfId="1181" priority="1284" operator="containsText" text="fnd">
      <formula>NOT(ISERROR(SEARCH("fnd",H96)))</formula>
    </cfRule>
    <cfRule type="containsText" dxfId="1180" priority="1282" operator="containsText" text="Ere">
      <formula>NOT(ISERROR(SEARCH("Ere",H96)))</formula>
    </cfRule>
  </conditionalFormatting>
  <conditionalFormatting sqref="H104">
    <cfRule type="containsText" dxfId="1179" priority="795" operator="containsText" text="Ear">
      <formula>NOT(ISERROR(SEARCH("Ear",H104)))</formula>
    </cfRule>
    <cfRule type="containsText" dxfId="1178" priority="796" operator="containsText" text="fnd">
      <formula>NOT(ISERROR(SEARCH("fnd",H104)))</formula>
    </cfRule>
    <cfRule type="containsText" dxfId="1177" priority="794" operator="containsText" text="Ere">
      <formula>NOT(ISERROR(SEARCH("Ere",H104)))</formula>
    </cfRule>
    <cfRule type="containsText" dxfId="1176" priority="793" operator="containsText" text="Str">
      <formula>NOT(ISERROR(SEARCH("Str",H104)))</formula>
    </cfRule>
  </conditionalFormatting>
  <conditionalFormatting sqref="H113">
    <cfRule type="containsText" dxfId="1175" priority="142" operator="containsText" text="Ere">
      <formula>NOT(ISERROR(SEARCH("Ere",H113)))</formula>
    </cfRule>
    <cfRule type="containsText" dxfId="1174" priority="141" operator="containsText" text="Str">
      <formula>NOT(ISERROR(SEARCH("Str",H113)))</formula>
    </cfRule>
    <cfRule type="containsText" dxfId="1173" priority="144" operator="containsText" text="fnd">
      <formula>NOT(ISERROR(SEARCH("fnd",H113)))</formula>
    </cfRule>
    <cfRule type="containsText" dxfId="1172" priority="143" operator="containsText" text="Ear">
      <formula>NOT(ISERROR(SEARCH("Ear",H113)))</formula>
    </cfRule>
  </conditionalFormatting>
  <conditionalFormatting sqref="H122">
    <cfRule type="containsText" dxfId="1171" priority="620" operator="containsText" text="fnd">
      <formula>NOT(ISERROR(SEARCH("fnd",H122)))</formula>
    </cfRule>
    <cfRule type="containsText" dxfId="1170" priority="619" operator="containsText" text="Ear">
      <formula>NOT(ISERROR(SEARCH("Ear",H122)))</formula>
    </cfRule>
    <cfRule type="containsText" dxfId="1169" priority="618" operator="containsText" text="Ere">
      <formula>NOT(ISERROR(SEARCH("Ere",H122)))</formula>
    </cfRule>
    <cfRule type="containsText" dxfId="1168" priority="617" operator="containsText" text="Str">
      <formula>NOT(ISERROR(SEARCH("Str",H122)))</formula>
    </cfRule>
  </conditionalFormatting>
  <conditionalFormatting sqref="H131:H134">
    <cfRule type="containsText" dxfId="1167" priority="24" operator="containsText" text="fnd">
      <formula>NOT(ISERROR(SEARCH("fnd",H131)))</formula>
    </cfRule>
    <cfRule type="containsText" dxfId="1166" priority="21" operator="containsText" text="Str">
      <formula>NOT(ISERROR(SEARCH("Str",H131)))</formula>
    </cfRule>
    <cfRule type="containsText" dxfId="1165" priority="22" operator="containsText" text="Ere">
      <formula>NOT(ISERROR(SEARCH("Ere",H131)))</formula>
    </cfRule>
    <cfRule type="containsText" dxfId="1164" priority="23" operator="containsText" text="Ear">
      <formula>NOT(ISERROR(SEARCH("Ear",H131)))</formula>
    </cfRule>
  </conditionalFormatting>
  <conditionalFormatting sqref="H33:I33">
    <cfRule type="containsText" dxfId="1163" priority="233" operator="containsText" text="Str">
      <formula>NOT(ISERROR(SEARCH("Str",H33)))</formula>
    </cfRule>
    <cfRule type="containsText" dxfId="1162" priority="234" operator="containsText" text="Ere">
      <formula>NOT(ISERROR(SEARCH("Ere",H33)))</formula>
    </cfRule>
    <cfRule type="containsText" dxfId="1161" priority="235" operator="containsText" text="Ear">
      <formula>NOT(ISERROR(SEARCH("Ear",H33)))</formula>
    </cfRule>
    <cfRule type="containsText" dxfId="1160" priority="236" operator="containsText" text="fnd">
      <formula>NOT(ISERROR(SEARCH("fnd",H33)))</formula>
    </cfRule>
  </conditionalFormatting>
  <conditionalFormatting sqref="H42:I42">
    <cfRule type="containsText" dxfId="1159" priority="1388" operator="containsText" text="fnd">
      <formula>NOT(ISERROR(SEARCH("fnd",H42)))</formula>
    </cfRule>
    <cfRule type="containsText" dxfId="1158" priority="1387" operator="containsText" text="Ear">
      <formula>NOT(ISERROR(SEARCH("Ear",H42)))</formula>
    </cfRule>
    <cfRule type="containsText" dxfId="1157" priority="1386" operator="containsText" text="Ere">
      <formula>NOT(ISERROR(SEARCH("Ere",H42)))</formula>
    </cfRule>
    <cfRule type="containsText" dxfId="1156" priority="1385" operator="containsText" text="Str">
      <formula>NOT(ISERROR(SEARCH("Str",H42)))</formula>
    </cfRule>
  </conditionalFormatting>
  <conditionalFormatting sqref="H51:I51">
    <cfRule type="containsText" dxfId="1155" priority="1318" operator="containsText" text="Ere">
      <formula>NOT(ISERROR(SEARCH("Ere",H51)))</formula>
    </cfRule>
    <cfRule type="containsText" dxfId="1154" priority="1320" operator="containsText" text="fnd">
      <formula>NOT(ISERROR(SEARCH("fnd",H51)))</formula>
    </cfRule>
    <cfRule type="containsText" dxfId="1153" priority="1319" operator="containsText" text="Ear">
      <formula>NOT(ISERROR(SEARCH("Ear",H51)))</formula>
    </cfRule>
    <cfRule type="containsText" dxfId="1152" priority="1317" operator="containsText" text="Str">
      <formula>NOT(ISERROR(SEARCH("Str",H51)))</formula>
    </cfRule>
  </conditionalFormatting>
  <conditionalFormatting sqref="H69:I69">
    <cfRule type="containsText" dxfId="1151" priority="654" operator="containsText" text="Ere">
      <formula>NOT(ISERROR(SEARCH("Ere",H69)))</formula>
    </cfRule>
    <cfRule type="containsText" dxfId="1150" priority="655" operator="containsText" text="Ear">
      <formula>NOT(ISERROR(SEARCH("Ear",H69)))</formula>
    </cfRule>
    <cfRule type="containsText" dxfId="1149" priority="656" operator="containsText" text="fnd">
      <formula>NOT(ISERROR(SEARCH("fnd",H69)))</formula>
    </cfRule>
    <cfRule type="containsText" dxfId="1148" priority="653" operator="containsText" text="Str">
      <formula>NOT(ISERROR(SEARCH("Str",H69)))</formula>
    </cfRule>
  </conditionalFormatting>
  <conditionalFormatting sqref="H105:I105">
    <cfRule type="containsText" dxfId="1147" priority="799" operator="containsText" text="Ear">
      <formula>NOT(ISERROR(SEARCH("Ear",H105)))</formula>
    </cfRule>
    <cfRule type="containsText" dxfId="1146" priority="798" operator="containsText" text="Ere">
      <formula>NOT(ISERROR(SEARCH("Ere",H105)))</formula>
    </cfRule>
    <cfRule type="containsText" dxfId="1145" priority="797" operator="containsText" text="Str">
      <formula>NOT(ISERROR(SEARCH("Str",H105)))</formula>
    </cfRule>
    <cfRule type="containsText" dxfId="1144" priority="800" operator="containsText" text="fnd">
      <formula>NOT(ISERROR(SEARCH("fnd",H105)))</formula>
    </cfRule>
  </conditionalFormatting>
  <conditionalFormatting sqref="H114:I114">
    <cfRule type="containsText" dxfId="1143" priority="145" operator="containsText" text="Str">
      <formula>NOT(ISERROR(SEARCH("Str",H114)))</formula>
    </cfRule>
    <cfRule type="containsText" dxfId="1142" priority="147" operator="containsText" text="Ear">
      <formula>NOT(ISERROR(SEARCH("Ear",H114)))</formula>
    </cfRule>
    <cfRule type="containsText" dxfId="1141" priority="146" operator="containsText" text="Ere">
      <formula>NOT(ISERROR(SEARCH("Ere",H114)))</formula>
    </cfRule>
    <cfRule type="containsText" dxfId="1140" priority="148" operator="containsText" text="fnd">
      <formula>NOT(ISERROR(SEARCH("fnd",H114)))</formula>
    </cfRule>
  </conditionalFormatting>
  <conditionalFormatting sqref="H123:I123">
    <cfRule type="containsText" dxfId="1139" priority="624" operator="containsText" text="fnd">
      <formula>NOT(ISERROR(SEARCH("fnd",H123)))</formula>
    </cfRule>
    <cfRule type="containsText" dxfId="1138" priority="623" operator="containsText" text="Ear">
      <formula>NOT(ISERROR(SEARCH("Ear",H123)))</formula>
    </cfRule>
    <cfRule type="containsText" dxfId="1137" priority="622" operator="containsText" text="Ere">
      <formula>NOT(ISERROR(SEARCH("Ere",H123)))</formula>
    </cfRule>
    <cfRule type="containsText" dxfId="1136" priority="621" operator="containsText" text="Str">
      <formula>NOT(ISERROR(SEARCH("Str",H123)))</formula>
    </cfRule>
  </conditionalFormatting>
  <conditionalFormatting sqref="H136:I136">
    <cfRule type="containsText" dxfId="1135" priority="16" operator="containsText" text="fnd">
      <formula>NOT(ISERROR(SEARCH("fnd",H136)))</formula>
    </cfRule>
    <cfRule type="containsText" dxfId="1134" priority="15" operator="containsText" text="Ear">
      <formula>NOT(ISERROR(SEARCH("Ear",H136)))</formula>
    </cfRule>
    <cfRule type="containsText" dxfId="1133" priority="14" operator="containsText" text="Ere">
      <formula>NOT(ISERROR(SEARCH("Ere",H136)))</formula>
    </cfRule>
    <cfRule type="containsText" dxfId="1132" priority="13" operator="containsText" text="Str">
      <formula>NOT(ISERROR(SEARCH("Str",H136)))</formula>
    </cfRule>
  </conditionalFormatting>
  <conditionalFormatting sqref="I6">
    <cfRule type="containsText" dxfId="1131" priority="183" operator="containsText" text="Ear">
      <formula>NOT(ISERROR(SEARCH("Ear",I6)))</formula>
    </cfRule>
    <cfRule type="containsText" dxfId="1130" priority="184" operator="containsText" text="fnd">
      <formula>NOT(ISERROR(SEARCH("fnd",I6)))</formula>
    </cfRule>
    <cfRule type="containsText" dxfId="1129" priority="182" operator="containsText" text="Ere">
      <formula>NOT(ISERROR(SEARCH("Ere",I6)))</formula>
    </cfRule>
    <cfRule type="containsText" dxfId="1128" priority="181" operator="containsText" text="Str">
      <formula>NOT(ISERROR(SEARCH("Str",I6)))</formula>
    </cfRule>
  </conditionalFormatting>
  <conditionalFormatting sqref="I15">
    <cfRule type="containsText" dxfId="1127" priority="376" operator="containsText" text="fnd">
      <formula>NOT(ISERROR(SEARCH("fnd",I15)))</formula>
    </cfRule>
    <cfRule type="containsText" dxfId="1126" priority="374" operator="containsText" text="Ere">
      <formula>NOT(ISERROR(SEARCH("Ere",I15)))</formula>
    </cfRule>
    <cfRule type="containsText" dxfId="1125" priority="375" operator="containsText" text="Ear">
      <formula>NOT(ISERROR(SEARCH("Ear",I15)))</formula>
    </cfRule>
    <cfRule type="containsText" dxfId="1124" priority="373" operator="containsText" text="Str">
      <formula>NOT(ISERROR(SEARCH("Str",I15)))</formula>
    </cfRule>
  </conditionalFormatting>
  <conditionalFormatting sqref="I24">
    <cfRule type="containsText" dxfId="1123" priority="696" operator="containsText" text="fnd">
      <formula>NOT(ISERROR(SEARCH("fnd",I24)))</formula>
    </cfRule>
    <cfRule type="containsText" dxfId="1122" priority="695" operator="containsText" text="Ear">
      <formula>NOT(ISERROR(SEARCH("Ear",I24)))</formula>
    </cfRule>
    <cfRule type="containsText" dxfId="1121" priority="693" operator="containsText" text="Str">
      <formula>NOT(ISERROR(SEARCH("Str",I24)))</formula>
    </cfRule>
    <cfRule type="containsText" dxfId="1120" priority="694" operator="containsText" text="Ere">
      <formula>NOT(ISERROR(SEARCH("Ere",I24)))</formula>
    </cfRule>
  </conditionalFormatting>
  <conditionalFormatting sqref="I60">
    <cfRule type="containsText" dxfId="1119" priority="968" operator="containsText" text="fnd">
      <formula>NOT(ISERROR(SEARCH("fnd",I60)))</formula>
    </cfRule>
    <cfRule type="containsText" dxfId="1118" priority="967" operator="containsText" text="Ear">
      <formula>NOT(ISERROR(SEARCH("Ear",I60)))</formula>
    </cfRule>
    <cfRule type="containsText" dxfId="1117" priority="966" operator="containsText" text="Ere">
      <formula>NOT(ISERROR(SEARCH("Ere",I60)))</formula>
    </cfRule>
    <cfRule type="containsText" dxfId="1116" priority="965" operator="containsText" text="Str">
      <formula>NOT(ISERROR(SEARCH("Str",I60)))</formula>
    </cfRule>
  </conditionalFormatting>
  <conditionalFormatting sqref="I87">
    <cfRule type="containsText" dxfId="1115" priority="789" operator="containsText" text="Str">
      <formula>NOT(ISERROR(SEARCH("Str",I87)))</formula>
    </cfRule>
    <cfRule type="containsText" dxfId="1114" priority="790" operator="containsText" text="Ere">
      <formula>NOT(ISERROR(SEARCH("Ere",I87)))</formula>
    </cfRule>
    <cfRule type="containsText" dxfId="1113" priority="791" operator="containsText" text="Ear">
      <formula>NOT(ISERROR(SEARCH("Ear",I87)))</formula>
    </cfRule>
    <cfRule type="containsText" dxfId="1112" priority="792" operator="containsText" text="fnd">
      <formula>NOT(ISERROR(SEARCH("fnd",I87)))</formula>
    </cfRule>
  </conditionalFormatting>
  <conditionalFormatting sqref="K5:K6">
    <cfRule type="containsText" dxfId="1111" priority="277" operator="containsText" text="Str">
      <formula>NOT(ISERROR(SEARCH("Str",K5)))</formula>
    </cfRule>
    <cfRule type="containsText" dxfId="1110" priority="280" operator="containsText" text="fnd">
      <formula>NOT(ISERROR(SEARCH("fnd",K5)))</formula>
    </cfRule>
    <cfRule type="containsText" dxfId="1109" priority="278" operator="containsText" text="Ere">
      <formula>NOT(ISERROR(SEARCH("Ere",K5)))</formula>
    </cfRule>
    <cfRule type="containsText" dxfId="1108" priority="279" operator="containsText" text="Ear">
      <formula>NOT(ISERROR(SEARCH("Ear",K5)))</formula>
    </cfRule>
  </conditionalFormatting>
  <conditionalFormatting sqref="K14:K15">
    <cfRule type="containsText" dxfId="1107" priority="442" operator="containsText" text="Ere">
      <formula>NOT(ISERROR(SEARCH("Ere",K14)))</formula>
    </cfRule>
    <cfRule type="containsText" dxfId="1106" priority="441" operator="containsText" text="Str">
      <formula>NOT(ISERROR(SEARCH("Str",K14)))</formula>
    </cfRule>
    <cfRule type="containsText" dxfId="1105" priority="444" operator="containsText" text="fnd">
      <formula>NOT(ISERROR(SEARCH("fnd",K14)))</formula>
    </cfRule>
    <cfRule type="containsText" dxfId="1104" priority="443" operator="containsText" text="Ear">
      <formula>NOT(ISERROR(SEARCH("Ear",K14)))</formula>
    </cfRule>
  </conditionalFormatting>
  <conditionalFormatting sqref="K23:K24">
    <cfRule type="containsText" dxfId="1103" priority="638" operator="containsText" text="Ere">
      <formula>NOT(ISERROR(SEARCH("Ere",K23)))</formula>
    </cfRule>
    <cfRule type="containsText" dxfId="1102" priority="637" operator="containsText" text="Str">
      <formula>NOT(ISERROR(SEARCH("Str",K23)))</formula>
    </cfRule>
    <cfRule type="containsText" dxfId="1101" priority="640" operator="containsText" text="fnd">
      <formula>NOT(ISERROR(SEARCH("fnd",K23)))</formula>
    </cfRule>
    <cfRule type="containsText" dxfId="1100" priority="639" operator="containsText" text="Ear">
      <formula>NOT(ISERROR(SEARCH("Ear",K23)))</formula>
    </cfRule>
  </conditionalFormatting>
  <conditionalFormatting sqref="K32">
    <cfRule type="containsText" dxfId="1099" priority="207" operator="containsText" text="Ear">
      <formula>NOT(ISERROR(SEARCH("Ear",K32)))</formula>
    </cfRule>
    <cfRule type="containsText" dxfId="1098" priority="208" operator="containsText" text="fnd">
      <formula>NOT(ISERROR(SEARCH("fnd",K32)))</formula>
    </cfRule>
    <cfRule type="containsText" dxfId="1097" priority="206" operator="containsText" text="Ere">
      <formula>NOT(ISERROR(SEARCH("Ere",K32)))</formula>
    </cfRule>
    <cfRule type="containsText" dxfId="1096" priority="205" operator="containsText" text="Str">
      <formula>NOT(ISERROR(SEARCH("Str",K32)))</formula>
    </cfRule>
  </conditionalFormatting>
  <conditionalFormatting sqref="K50:K51">
    <cfRule type="containsText" dxfId="1095" priority="974" operator="containsText" text="Ere">
      <formula>NOT(ISERROR(SEARCH("Ere",K50)))</formula>
    </cfRule>
    <cfRule type="containsText" dxfId="1094" priority="975" operator="containsText" text="Ear">
      <formula>NOT(ISERROR(SEARCH("Ear",K50)))</formula>
    </cfRule>
    <cfRule type="containsText" dxfId="1093" priority="976" operator="containsText" text="fnd">
      <formula>NOT(ISERROR(SEARCH("fnd",K50)))</formula>
    </cfRule>
    <cfRule type="containsText" dxfId="1092" priority="973" operator="containsText" text="Str">
      <formula>NOT(ISERROR(SEARCH("Str",K50)))</formula>
    </cfRule>
  </conditionalFormatting>
  <conditionalFormatting sqref="K68">
    <cfRule type="containsText" dxfId="1091" priority="588" operator="containsText" text="fnd">
      <formula>NOT(ISERROR(SEARCH("fnd",K68)))</formula>
    </cfRule>
    <cfRule type="containsText" dxfId="1090" priority="587" operator="containsText" text="Ear">
      <formula>NOT(ISERROR(SEARCH("Ear",K68)))</formula>
    </cfRule>
    <cfRule type="containsText" dxfId="1089" priority="586" operator="containsText" text="Ere">
      <formula>NOT(ISERROR(SEARCH("Ere",K68)))</formula>
    </cfRule>
    <cfRule type="containsText" dxfId="1088" priority="585" operator="containsText" text="Str">
      <formula>NOT(ISERROR(SEARCH("Str",K68)))</formula>
    </cfRule>
  </conditionalFormatting>
  <conditionalFormatting sqref="K86 T86 AC86:AC87 AF86:AF87 AI86:AI87 AL86:AL87">
    <cfRule type="containsText" dxfId="1087" priority="1288" operator="containsText" text="fnd">
      <formula>NOT(ISERROR(SEARCH("fnd",K86)))</formula>
    </cfRule>
    <cfRule type="containsText" dxfId="1086" priority="1285" operator="containsText" text="Str">
      <formula>NOT(ISERROR(SEARCH("Str",K86)))</formula>
    </cfRule>
    <cfRule type="containsText" dxfId="1085" priority="1286" operator="containsText" text="Ere">
      <formula>NOT(ISERROR(SEARCH("Ere",K86)))</formula>
    </cfRule>
    <cfRule type="containsText" dxfId="1084" priority="1287" operator="containsText" text="Ear">
      <formula>NOT(ISERROR(SEARCH("Ear",K86)))</formula>
    </cfRule>
  </conditionalFormatting>
  <conditionalFormatting sqref="K95 N95">
    <cfRule type="containsText" dxfId="1083" priority="1277" operator="containsText" text="Str">
      <formula>NOT(ISERROR(SEARCH("Str",K95)))</formula>
    </cfRule>
    <cfRule type="containsText" dxfId="1082" priority="1280" operator="containsText" text="fnd">
      <formula>NOT(ISERROR(SEARCH("fnd",K95)))</formula>
    </cfRule>
    <cfRule type="containsText" dxfId="1081" priority="1279" operator="containsText" text="Ear">
      <formula>NOT(ISERROR(SEARCH("Ear",K95)))</formula>
    </cfRule>
    <cfRule type="containsText" dxfId="1080" priority="1278" operator="containsText" text="Ere">
      <formula>NOT(ISERROR(SEARCH("Ere",K95)))</formula>
    </cfRule>
  </conditionalFormatting>
  <conditionalFormatting sqref="K104">
    <cfRule type="containsText" dxfId="1079" priority="1242" operator="containsText" text="Ere">
      <formula>NOT(ISERROR(SEARCH("Ere",K104)))</formula>
    </cfRule>
    <cfRule type="containsText" dxfId="1078" priority="1243" operator="containsText" text="Ear">
      <formula>NOT(ISERROR(SEARCH("Ear",K104)))</formula>
    </cfRule>
    <cfRule type="containsText" dxfId="1077" priority="1244" operator="containsText" text="fnd">
      <formula>NOT(ISERROR(SEARCH("fnd",K104)))</formula>
    </cfRule>
    <cfRule type="containsText" dxfId="1076" priority="1241" operator="containsText" text="Str">
      <formula>NOT(ISERROR(SEARCH("Str",K104)))</formula>
    </cfRule>
  </conditionalFormatting>
  <conditionalFormatting sqref="K113">
    <cfRule type="containsText" dxfId="1075" priority="136" operator="containsText" text="fnd">
      <formula>NOT(ISERROR(SEARCH("fnd",K113)))</formula>
    </cfRule>
    <cfRule type="containsText" dxfId="1074" priority="135" operator="containsText" text="Ear">
      <formula>NOT(ISERROR(SEARCH("Ear",K113)))</formula>
    </cfRule>
    <cfRule type="containsText" dxfId="1073" priority="134" operator="containsText" text="Ere">
      <formula>NOT(ISERROR(SEARCH("Ere",K113)))</formula>
    </cfRule>
    <cfRule type="containsText" dxfId="1072" priority="133" operator="containsText" text="Str">
      <formula>NOT(ISERROR(SEARCH("Str",K113)))</formula>
    </cfRule>
  </conditionalFormatting>
  <conditionalFormatting sqref="K122">
    <cfRule type="containsText" dxfId="1071" priority="611" operator="containsText" text="Ear">
      <formula>NOT(ISERROR(SEARCH("Ear",K122)))</formula>
    </cfRule>
    <cfRule type="containsText" dxfId="1070" priority="612" operator="containsText" text="fnd">
      <formula>NOT(ISERROR(SEARCH("fnd",K122)))</formula>
    </cfRule>
    <cfRule type="containsText" dxfId="1069" priority="609" operator="containsText" text="Str">
      <formula>NOT(ISERROR(SEARCH("Str",K122)))</formula>
    </cfRule>
    <cfRule type="containsText" dxfId="1068" priority="610" operator="containsText" text="Ere">
      <formula>NOT(ISERROR(SEARCH("Ere",K122)))</formula>
    </cfRule>
  </conditionalFormatting>
  <conditionalFormatting sqref="K131">
    <cfRule type="containsText" dxfId="1067" priority="4" operator="containsText" text="fnd">
      <formula>NOT(ISERROR(SEARCH("fnd",K131)))</formula>
    </cfRule>
    <cfRule type="containsText" dxfId="1066" priority="2" operator="containsText" text="Ere">
      <formula>NOT(ISERROR(SEARCH("Ere",K131)))</formula>
    </cfRule>
    <cfRule type="containsText" dxfId="1065" priority="1" operator="containsText" text="Str">
      <formula>NOT(ISERROR(SEARCH("Str",K131)))</formula>
    </cfRule>
    <cfRule type="containsText" dxfId="1064" priority="3" operator="containsText" text="Ear">
      <formula>NOT(ISERROR(SEARCH("Ear",K131)))</formula>
    </cfRule>
  </conditionalFormatting>
  <conditionalFormatting sqref="K136">
    <cfRule type="containsText" dxfId="1063" priority="9" operator="containsText" text="Str">
      <formula>NOT(ISERROR(SEARCH("Str",K136)))</formula>
    </cfRule>
    <cfRule type="containsText" dxfId="1062" priority="10" operator="containsText" text="Ere">
      <formula>NOT(ISERROR(SEARCH("Ere",K136)))</formula>
    </cfRule>
    <cfRule type="containsText" dxfId="1061" priority="12" operator="containsText" text="fnd">
      <formula>NOT(ISERROR(SEARCH("fnd",K136)))</formula>
    </cfRule>
    <cfRule type="containsText" dxfId="1060" priority="11" operator="containsText" text="Ear">
      <formula>NOT(ISERROR(SEARCH("Ear",K136)))</formula>
    </cfRule>
  </conditionalFormatting>
  <conditionalFormatting sqref="K144:K145">
    <cfRule type="containsText" dxfId="1059" priority="1072" operator="containsText" text="fnd">
      <formula>NOT(ISERROR(SEARCH("fnd",K144)))</formula>
    </cfRule>
    <cfRule type="containsText" dxfId="1058" priority="1071" operator="containsText" text="Ear">
      <formula>NOT(ISERROR(SEARCH("Ear",K144)))</formula>
    </cfRule>
    <cfRule type="containsText" dxfId="1057" priority="1070" operator="containsText" text="Ere">
      <formula>NOT(ISERROR(SEARCH("Ere",K144)))</formula>
    </cfRule>
    <cfRule type="containsText" dxfId="1056" priority="1069" operator="containsText" text="Str">
      <formula>NOT(ISERROR(SEARCH("Str",K144)))</formula>
    </cfRule>
  </conditionalFormatting>
  <conditionalFormatting sqref="K33:L33">
    <cfRule type="containsText" dxfId="1055" priority="209" operator="containsText" text="Str">
      <formula>NOT(ISERROR(SEARCH("Str",K33)))</formula>
    </cfRule>
    <cfRule type="containsText" dxfId="1054" priority="210" operator="containsText" text="Ere">
      <formula>NOT(ISERROR(SEARCH("Ere",K33)))</formula>
    </cfRule>
    <cfRule type="containsText" dxfId="1053" priority="211" operator="containsText" text="Ear">
      <formula>NOT(ISERROR(SEARCH("Ear",K33)))</formula>
    </cfRule>
    <cfRule type="containsText" dxfId="1052" priority="212" operator="containsText" text="fnd">
      <formula>NOT(ISERROR(SEARCH("fnd",K33)))</formula>
    </cfRule>
  </conditionalFormatting>
  <conditionalFormatting sqref="K42:L42">
    <cfRule type="containsText" dxfId="1051" priority="1382" operator="containsText" text="Ere">
      <formula>NOT(ISERROR(SEARCH("Ere",K42)))</formula>
    </cfRule>
    <cfRule type="containsText" dxfId="1050" priority="1381" operator="containsText" text="Str">
      <formula>NOT(ISERROR(SEARCH("Str",K42)))</formula>
    </cfRule>
    <cfRule type="containsText" dxfId="1049" priority="1383" operator="containsText" text="Ear">
      <formula>NOT(ISERROR(SEARCH("Ear",K42)))</formula>
    </cfRule>
    <cfRule type="containsText" dxfId="1048" priority="1384" operator="containsText" text="fnd">
      <formula>NOT(ISERROR(SEARCH("fnd",K42)))</formula>
    </cfRule>
  </conditionalFormatting>
  <conditionalFormatting sqref="K60:L60">
    <cfRule type="containsText" dxfId="1047" priority="1347" operator="containsText" text="Ear">
      <formula>NOT(ISERROR(SEARCH("Ear",K60)))</formula>
    </cfRule>
    <cfRule type="containsText" dxfId="1046" priority="1346" operator="containsText" text="Ere">
      <formula>NOT(ISERROR(SEARCH("Ere",K60)))</formula>
    </cfRule>
    <cfRule type="containsText" dxfId="1045" priority="1345" operator="containsText" text="Str">
      <formula>NOT(ISERROR(SEARCH("Str",K60)))</formula>
    </cfRule>
    <cfRule type="containsText" dxfId="1044" priority="1348" operator="containsText" text="fnd">
      <formula>NOT(ISERROR(SEARCH("fnd",K60)))</formula>
    </cfRule>
  </conditionalFormatting>
  <conditionalFormatting sqref="K69:L69">
    <cfRule type="containsText" dxfId="1043" priority="590" operator="containsText" text="Ere">
      <formula>NOT(ISERROR(SEARCH("Ere",K69)))</formula>
    </cfRule>
    <cfRule type="containsText" dxfId="1042" priority="591" operator="containsText" text="Ear">
      <formula>NOT(ISERROR(SEARCH("Ear",K69)))</formula>
    </cfRule>
    <cfRule type="containsText" dxfId="1041" priority="592" operator="containsText" text="fnd">
      <formula>NOT(ISERROR(SEARCH("fnd",K69)))</formula>
    </cfRule>
    <cfRule type="containsText" dxfId="1040" priority="589" operator="containsText" text="Str">
      <formula>NOT(ISERROR(SEARCH("Str",K69)))</formula>
    </cfRule>
  </conditionalFormatting>
  <conditionalFormatting sqref="K87:L87 T87:U87">
    <cfRule type="containsText" dxfId="1039" priority="1296" operator="containsText" text="fnd">
      <formula>NOT(ISERROR(SEARCH("fnd",K87)))</formula>
    </cfRule>
    <cfRule type="containsText" dxfId="1038" priority="1295" operator="containsText" text="Ear">
      <formula>NOT(ISERROR(SEARCH("Ear",K87)))</formula>
    </cfRule>
    <cfRule type="containsText" dxfId="1037" priority="1294" operator="containsText" text="Ere">
      <formula>NOT(ISERROR(SEARCH("Ere",K87)))</formula>
    </cfRule>
    <cfRule type="containsText" dxfId="1036" priority="1293" operator="containsText" text="Str">
      <formula>NOT(ISERROR(SEARCH("Str",K87)))</formula>
    </cfRule>
  </conditionalFormatting>
  <conditionalFormatting sqref="K105:L105">
    <cfRule type="containsText" dxfId="1035" priority="1254" operator="containsText" text="Ere">
      <formula>NOT(ISERROR(SEARCH("Ere",K105)))</formula>
    </cfRule>
    <cfRule type="containsText" dxfId="1034" priority="1253" operator="containsText" text="Str">
      <formula>NOT(ISERROR(SEARCH("Str",K105)))</formula>
    </cfRule>
    <cfRule type="containsText" dxfId="1033" priority="1256" operator="containsText" text="fnd">
      <formula>NOT(ISERROR(SEARCH("fnd",K105)))</formula>
    </cfRule>
    <cfRule type="containsText" dxfId="1032" priority="1255" operator="containsText" text="Ear">
      <formula>NOT(ISERROR(SEARCH("Ear",K105)))</formula>
    </cfRule>
  </conditionalFormatting>
  <conditionalFormatting sqref="K114:L114">
    <cfRule type="containsText" dxfId="1031" priority="138" operator="containsText" text="Ere">
      <formula>NOT(ISERROR(SEARCH("Ere",K114)))</formula>
    </cfRule>
    <cfRule type="containsText" dxfId="1030" priority="139" operator="containsText" text="Ear">
      <formula>NOT(ISERROR(SEARCH("Ear",K114)))</formula>
    </cfRule>
    <cfRule type="containsText" dxfId="1029" priority="140" operator="containsText" text="fnd">
      <formula>NOT(ISERROR(SEARCH("fnd",K114)))</formula>
    </cfRule>
    <cfRule type="containsText" dxfId="1028" priority="137" operator="containsText" text="Str">
      <formula>NOT(ISERROR(SEARCH("Str",K114)))</formula>
    </cfRule>
  </conditionalFormatting>
  <conditionalFormatting sqref="K123:L123">
    <cfRule type="containsText" dxfId="1027" priority="614" operator="containsText" text="Ere">
      <formula>NOT(ISERROR(SEARCH("Ere",K123)))</formula>
    </cfRule>
    <cfRule type="containsText" dxfId="1026" priority="613" operator="containsText" text="Str">
      <formula>NOT(ISERROR(SEARCH("Str",K123)))</formula>
    </cfRule>
    <cfRule type="containsText" dxfId="1025" priority="616" operator="containsText" text="fnd">
      <formula>NOT(ISERROR(SEARCH("fnd",K123)))</formula>
    </cfRule>
    <cfRule type="containsText" dxfId="1024" priority="615" operator="containsText" text="Ear">
      <formula>NOT(ISERROR(SEARCH("Ear",K123)))</formula>
    </cfRule>
  </conditionalFormatting>
  <conditionalFormatting sqref="K132:L132">
    <cfRule type="containsText" dxfId="1023" priority="6" operator="containsText" text="Ere">
      <formula>NOT(ISERROR(SEARCH("Ere",K132)))</formula>
    </cfRule>
    <cfRule type="containsText" dxfId="1022" priority="5" operator="containsText" text="Str">
      <formula>NOT(ISERROR(SEARCH("Str",K132)))</formula>
    </cfRule>
    <cfRule type="containsText" dxfId="1021" priority="8" operator="containsText" text="fnd">
      <formula>NOT(ISERROR(SEARCH("fnd",K132)))</formula>
    </cfRule>
    <cfRule type="containsText" dxfId="1020" priority="7" operator="containsText" text="Ear">
      <formula>NOT(ISERROR(SEARCH("Ear",K132)))</formula>
    </cfRule>
  </conditionalFormatting>
  <conditionalFormatting sqref="L6">
    <cfRule type="containsText" dxfId="1019" priority="273" operator="containsText" text="Str">
      <formula>NOT(ISERROR(SEARCH("Str",L6)))</formula>
    </cfRule>
    <cfRule type="containsText" dxfId="1018" priority="274" operator="containsText" text="Ere">
      <formula>NOT(ISERROR(SEARCH("Ere",L6)))</formula>
    </cfRule>
    <cfRule type="containsText" dxfId="1017" priority="275" operator="containsText" text="Ear">
      <formula>NOT(ISERROR(SEARCH("Ear",L6)))</formula>
    </cfRule>
    <cfRule type="containsText" dxfId="1016" priority="276" operator="containsText" text="fnd">
      <formula>NOT(ISERROR(SEARCH("fnd",L6)))</formula>
    </cfRule>
  </conditionalFormatting>
  <conditionalFormatting sqref="L15">
    <cfRule type="containsText" dxfId="1015" priority="440" operator="containsText" text="fnd">
      <formula>NOT(ISERROR(SEARCH("fnd",L15)))</formula>
    </cfRule>
    <cfRule type="containsText" dxfId="1014" priority="439" operator="containsText" text="Ear">
      <formula>NOT(ISERROR(SEARCH("Ear",L15)))</formula>
    </cfRule>
    <cfRule type="containsText" dxfId="1013" priority="438" operator="containsText" text="Ere">
      <formula>NOT(ISERROR(SEARCH("Ere",L15)))</formula>
    </cfRule>
    <cfRule type="containsText" dxfId="1012" priority="437" operator="containsText" text="Str">
      <formula>NOT(ISERROR(SEARCH("Str",L15)))</formula>
    </cfRule>
  </conditionalFormatting>
  <conditionalFormatting sqref="L24">
    <cfRule type="containsText" dxfId="1011" priority="636" operator="containsText" text="fnd">
      <formula>NOT(ISERROR(SEARCH("fnd",L24)))</formula>
    </cfRule>
    <cfRule type="containsText" dxfId="1010" priority="635" operator="containsText" text="Ear">
      <formula>NOT(ISERROR(SEARCH("Ear",L24)))</formula>
    </cfRule>
    <cfRule type="containsText" dxfId="1009" priority="634" operator="containsText" text="Ere">
      <formula>NOT(ISERROR(SEARCH("Ere",L24)))</formula>
    </cfRule>
    <cfRule type="containsText" dxfId="1008" priority="633" operator="containsText" text="Str">
      <formula>NOT(ISERROR(SEARCH("Str",L24)))</formula>
    </cfRule>
  </conditionalFormatting>
  <conditionalFormatting sqref="N5:N6">
    <cfRule type="containsText" dxfId="1007" priority="365" operator="containsText" text="Str">
      <formula>NOT(ISERROR(SEARCH("Str",N5)))</formula>
    </cfRule>
    <cfRule type="containsText" dxfId="1006" priority="366" operator="containsText" text="Ere">
      <formula>NOT(ISERROR(SEARCH("Ere",N5)))</formula>
    </cfRule>
    <cfRule type="containsText" dxfId="1005" priority="367" operator="containsText" text="Ear">
      <formula>NOT(ISERROR(SEARCH("Ear",N5)))</formula>
    </cfRule>
    <cfRule type="containsText" dxfId="1004" priority="368" operator="containsText" text="fnd">
      <formula>NOT(ISERROR(SEARCH("fnd",N5)))</formula>
    </cfRule>
  </conditionalFormatting>
  <conditionalFormatting sqref="N14:N15">
    <cfRule type="containsText" dxfId="1003" priority="457" operator="containsText" text="Str">
      <formula>NOT(ISERROR(SEARCH("Str",N14)))</formula>
    </cfRule>
    <cfRule type="containsText" dxfId="1002" priority="458" operator="containsText" text="Ere">
      <formula>NOT(ISERROR(SEARCH("Ere",N14)))</formula>
    </cfRule>
    <cfRule type="containsText" dxfId="1001" priority="459" operator="containsText" text="Ear">
      <formula>NOT(ISERROR(SEARCH("Ear",N14)))</formula>
    </cfRule>
    <cfRule type="containsText" dxfId="1000" priority="460" operator="containsText" text="fnd">
      <formula>NOT(ISERROR(SEARCH("fnd",N14)))</formula>
    </cfRule>
  </conditionalFormatting>
  <conditionalFormatting sqref="N23:N24">
    <cfRule type="containsText" dxfId="999" priority="340" operator="containsText" text="fnd">
      <formula>NOT(ISERROR(SEARCH("fnd",N23)))</formula>
    </cfRule>
    <cfRule type="containsText" dxfId="998" priority="339" operator="containsText" text="Ear">
      <formula>NOT(ISERROR(SEARCH("Ear",N23)))</formula>
    </cfRule>
    <cfRule type="containsText" dxfId="997" priority="338" operator="containsText" text="Ere">
      <formula>NOT(ISERROR(SEARCH("Ere",N23)))</formula>
    </cfRule>
    <cfRule type="containsText" dxfId="996" priority="337" operator="containsText" text="Str">
      <formula>NOT(ISERROR(SEARCH("Str",N23)))</formula>
    </cfRule>
  </conditionalFormatting>
  <conditionalFormatting sqref="N32">
    <cfRule type="containsText" dxfId="995" priority="191" operator="containsText" text="Ear">
      <formula>NOT(ISERROR(SEARCH("Ear",N32)))</formula>
    </cfRule>
    <cfRule type="containsText" dxfId="994" priority="192" operator="containsText" text="fnd">
      <formula>NOT(ISERROR(SEARCH("fnd",N32)))</formula>
    </cfRule>
    <cfRule type="containsText" dxfId="993" priority="189" operator="containsText" text="Str">
      <formula>NOT(ISERROR(SEARCH("Str",N32)))</formula>
    </cfRule>
    <cfRule type="containsText" dxfId="992" priority="190" operator="containsText" text="Ere">
      <formula>NOT(ISERROR(SEARCH("Ere",N32)))</formula>
    </cfRule>
  </conditionalFormatting>
  <conditionalFormatting sqref="N41">
    <cfRule type="containsText" dxfId="991" priority="1374" operator="containsText" text="Ere">
      <formula>NOT(ISERROR(SEARCH("Ere",N41)))</formula>
    </cfRule>
    <cfRule type="containsText" dxfId="990" priority="1376" operator="containsText" text="fnd">
      <formula>NOT(ISERROR(SEARCH("fnd",N41)))</formula>
    </cfRule>
    <cfRule type="containsText" dxfId="989" priority="1375" operator="containsText" text="Ear">
      <formula>NOT(ISERROR(SEARCH("Ear",N41)))</formula>
    </cfRule>
    <cfRule type="containsText" dxfId="988" priority="1373" operator="containsText" text="Str">
      <formula>NOT(ISERROR(SEARCH("Str",N41)))</formula>
    </cfRule>
  </conditionalFormatting>
  <conditionalFormatting sqref="N50 Q50 T50 W50">
    <cfRule type="containsText" dxfId="987" priority="1308" operator="containsText" text="fnd">
      <formula>NOT(ISERROR(SEARCH("fnd",N50)))</formula>
    </cfRule>
    <cfRule type="containsText" dxfId="986" priority="1305" operator="containsText" text="Str">
      <formula>NOT(ISERROR(SEARCH("Str",N50)))</formula>
    </cfRule>
    <cfRule type="containsText" dxfId="985" priority="1306" operator="containsText" text="Ere">
      <formula>NOT(ISERROR(SEARCH("Ere",N50)))</formula>
    </cfRule>
    <cfRule type="containsText" dxfId="984" priority="1307" operator="containsText" text="Ear">
      <formula>NOT(ISERROR(SEARCH("Ear",N50)))</formula>
    </cfRule>
  </conditionalFormatting>
  <conditionalFormatting sqref="N59">
    <cfRule type="containsText" dxfId="983" priority="1231" operator="containsText" text="Ear">
      <formula>NOT(ISERROR(SEARCH("Ear",N59)))</formula>
    </cfRule>
    <cfRule type="containsText" dxfId="982" priority="1232" operator="containsText" text="fnd">
      <formula>NOT(ISERROR(SEARCH("fnd",N59)))</formula>
    </cfRule>
    <cfRule type="containsText" dxfId="981" priority="1229" operator="containsText" text="Str">
      <formula>NOT(ISERROR(SEARCH("Str",N59)))</formula>
    </cfRule>
    <cfRule type="containsText" dxfId="980" priority="1230" operator="containsText" text="Ere">
      <formula>NOT(ISERROR(SEARCH("Ere",N59)))</formula>
    </cfRule>
  </conditionalFormatting>
  <conditionalFormatting sqref="N68">
    <cfRule type="containsText" dxfId="979" priority="688" operator="containsText" text="fnd">
      <formula>NOT(ISERROR(SEARCH("fnd",N68)))</formula>
    </cfRule>
    <cfRule type="containsText" dxfId="978" priority="687" operator="containsText" text="Ear">
      <formula>NOT(ISERROR(SEARCH("Ear",N68)))</formula>
    </cfRule>
    <cfRule type="containsText" dxfId="977" priority="686" operator="containsText" text="Ere">
      <formula>NOT(ISERROR(SEARCH("Ere",N68)))</formula>
    </cfRule>
    <cfRule type="containsText" dxfId="976" priority="685" operator="containsText" text="Str">
      <formula>NOT(ISERROR(SEARCH("Str",N68)))</formula>
    </cfRule>
  </conditionalFormatting>
  <conditionalFormatting sqref="N104">
    <cfRule type="containsText" dxfId="975" priority="804" operator="containsText" text="fnd">
      <formula>NOT(ISERROR(SEARCH("fnd",N104)))</formula>
    </cfRule>
    <cfRule type="containsText" dxfId="974" priority="801" operator="containsText" text="Str">
      <formula>NOT(ISERROR(SEARCH("Str",N104)))</formula>
    </cfRule>
    <cfRule type="containsText" dxfId="973" priority="802" operator="containsText" text="Ere">
      <formula>NOT(ISERROR(SEARCH("Ere",N104)))</formula>
    </cfRule>
    <cfRule type="containsText" dxfId="972" priority="803" operator="containsText" text="Ear">
      <formula>NOT(ISERROR(SEARCH("Ear",N104)))</formula>
    </cfRule>
  </conditionalFormatting>
  <conditionalFormatting sqref="N113:N114">
    <cfRule type="containsText" dxfId="971" priority="990" operator="containsText" text="Ere">
      <formula>NOT(ISERROR(SEARCH("Ere",N113)))</formula>
    </cfRule>
    <cfRule type="containsText" dxfId="970" priority="989" operator="containsText" text="Str">
      <formula>NOT(ISERROR(SEARCH("Str",N113)))</formula>
    </cfRule>
    <cfRule type="containsText" dxfId="969" priority="991" operator="containsText" text="Ear">
      <formula>NOT(ISERROR(SEARCH("Ear",N113)))</formula>
    </cfRule>
    <cfRule type="containsText" dxfId="968" priority="992" operator="containsText" text="fnd">
      <formula>NOT(ISERROR(SEARCH("fnd",N113)))</formula>
    </cfRule>
  </conditionalFormatting>
  <conditionalFormatting sqref="N122">
    <cfRule type="containsText" dxfId="967" priority="548" operator="containsText" text="fnd">
      <formula>NOT(ISERROR(SEARCH("fnd",N122)))</formula>
    </cfRule>
    <cfRule type="containsText" dxfId="966" priority="545" operator="containsText" text="Str">
      <formula>NOT(ISERROR(SEARCH("Str",N122)))</formula>
    </cfRule>
    <cfRule type="containsText" dxfId="965" priority="546" operator="containsText" text="Ere">
      <formula>NOT(ISERROR(SEARCH("Ere",N122)))</formula>
    </cfRule>
    <cfRule type="containsText" dxfId="964" priority="547" operator="containsText" text="Ear">
      <formula>NOT(ISERROR(SEARCH("Ear",N122)))</formula>
    </cfRule>
  </conditionalFormatting>
  <conditionalFormatting sqref="N133:N135">
    <cfRule type="containsText" dxfId="963" priority="939" operator="containsText" text="Ear">
      <formula>NOT(ISERROR(SEARCH("Ear",N133)))</formula>
    </cfRule>
    <cfRule type="containsText" dxfId="962" priority="940" operator="containsText" text="fnd">
      <formula>NOT(ISERROR(SEARCH("fnd",N133)))</formula>
    </cfRule>
    <cfRule type="containsText" dxfId="961" priority="938" operator="containsText" text="Ere">
      <formula>NOT(ISERROR(SEARCH("Ere",N133)))</formula>
    </cfRule>
    <cfRule type="containsText" dxfId="960" priority="937" operator="containsText" text="Str">
      <formula>NOT(ISERROR(SEARCH("Str",N133)))</formula>
    </cfRule>
  </conditionalFormatting>
  <conditionalFormatting sqref="N33:O33">
    <cfRule type="containsText" dxfId="959" priority="194" operator="containsText" text="Ere">
      <formula>NOT(ISERROR(SEARCH("Ere",N33)))</formula>
    </cfRule>
    <cfRule type="containsText" dxfId="958" priority="193" operator="containsText" text="Str">
      <formula>NOT(ISERROR(SEARCH("Str",N33)))</formula>
    </cfRule>
    <cfRule type="containsText" dxfId="957" priority="195" operator="containsText" text="Ear">
      <formula>NOT(ISERROR(SEARCH("Ear",N33)))</formula>
    </cfRule>
    <cfRule type="containsText" dxfId="956" priority="196" operator="containsText" text="fnd">
      <formula>NOT(ISERROR(SEARCH("fnd",N33)))</formula>
    </cfRule>
  </conditionalFormatting>
  <conditionalFormatting sqref="N42:O42">
    <cfRule type="containsText" dxfId="955" priority="1400" operator="containsText" text="fnd">
      <formula>NOT(ISERROR(SEARCH("fnd",N42)))</formula>
    </cfRule>
    <cfRule type="containsText" dxfId="954" priority="1399" operator="containsText" text="Ear">
      <formula>NOT(ISERROR(SEARCH("Ear",N42)))</formula>
    </cfRule>
    <cfRule type="containsText" dxfId="953" priority="1398" operator="containsText" text="Ere">
      <formula>NOT(ISERROR(SEARCH("Ere",N42)))</formula>
    </cfRule>
    <cfRule type="containsText" dxfId="952" priority="1397" operator="containsText" text="Str">
      <formula>NOT(ISERROR(SEARCH("Str",N42)))</formula>
    </cfRule>
  </conditionalFormatting>
  <conditionalFormatting sqref="N51:O51">
    <cfRule type="containsText" dxfId="951" priority="1321" operator="containsText" text="Str">
      <formula>NOT(ISERROR(SEARCH("Str",N51)))</formula>
    </cfRule>
    <cfRule type="containsText" dxfId="950" priority="1323" operator="containsText" text="Ear">
      <formula>NOT(ISERROR(SEARCH("Ear",N51)))</formula>
    </cfRule>
    <cfRule type="containsText" dxfId="949" priority="1324" operator="containsText" text="fnd">
      <formula>NOT(ISERROR(SEARCH("fnd",N51)))</formula>
    </cfRule>
    <cfRule type="containsText" dxfId="948" priority="1322" operator="containsText" text="Ere">
      <formula>NOT(ISERROR(SEARCH("Ere",N51)))</formula>
    </cfRule>
  </conditionalFormatting>
  <conditionalFormatting sqref="N60:O60">
    <cfRule type="containsText" dxfId="947" priority="1344" operator="containsText" text="fnd">
      <formula>NOT(ISERROR(SEARCH("fnd",N60)))</formula>
    </cfRule>
    <cfRule type="containsText" dxfId="946" priority="1343" operator="containsText" text="Ear">
      <formula>NOT(ISERROR(SEARCH("Ear",N60)))</formula>
    </cfRule>
    <cfRule type="containsText" dxfId="945" priority="1342" operator="containsText" text="Ere">
      <formula>NOT(ISERROR(SEARCH("Ere",N60)))</formula>
    </cfRule>
    <cfRule type="containsText" dxfId="944" priority="1341" operator="containsText" text="Str">
      <formula>NOT(ISERROR(SEARCH("Str",N60)))</formula>
    </cfRule>
  </conditionalFormatting>
  <conditionalFormatting sqref="N69:O69">
    <cfRule type="containsText" dxfId="943" priority="691" operator="containsText" text="Ear">
      <formula>NOT(ISERROR(SEARCH("Ear",N69)))</formula>
    </cfRule>
    <cfRule type="containsText" dxfId="942" priority="690" operator="containsText" text="Ere">
      <formula>NOT(ISERROR(SEARCH("Ere",N69)))</formula>
    </cfRule>
    <cfRule type="containsText" dxfId="941" priority="692" operator="containsText" text="fnd">
      <formula>NOT(ISERROR(SEARCH("fnd",N69)))</formula>
    </cfRule>
    <cfRule type="containsText" dxfId="940" priority="689" operator="containsText" text="Str">
      <formula>NOT(ISERROR(SEARCH("Str",N69)))</formula>
    </cfRule>
  </conditionalFormatting>
  <conditionalFormatting sqref="N105:O105">
    <cfRule type="containsText" dxfId="939" priority="808" operator="containsText" text="fnd">
      <formula>NOT(ISERROR(SEARCH("fnd",N105)))</formula>
    </cfRule>
    <cfRule type="containsText" dxfId="938" priority="806" operator="containsText" text="Ere">
      <formula>NOT(ISERROR(SEARCH("Ere",N105)))</formula>
    </cfRule>
    <cfRule type="containsText" dxfId="937" priority="805" operator="containsText" text="Str">
      <formula>NOT(ISERROR(SEARCH("Str",N105)))</formula>
    </cfRule>
    <cfRule type="containsText" dxfId="936" priority="807" operator="containsText" text="Ear">
      <formula>NOT(ISERROR(SEARCH("Ear",N105)))</formula>
    </cfRule>
  </conditionalFormatting>
  <conditionalFormatting sqref="N123:O123">
    <cfRule type="containsText" dxfId="935" priority="552" operator="containsText" text="fnd">
      <formula>NOT(ISERROR(SEARCH("fnd",N123)))</formula>
    </cfRule>
    <cfRule type="containsText" dxfId="934" priority="549" operator="containsText" text="Str">
      <formula>NOT(ISERROR(SEARCH("Str",N123)))</formula>
    </cfRule>
    <cfRule type="containsText" dxfId="933" priority="550" operator="containsText" text="Ere">
      <formula>NOT(ISERROR(SEARCH("Ere",N123)))</formula>
    </cfRule>
    <cfRule type="containsText" dxfId="932" priority="551" operator="containsText" text="Ear">
      <formula>NOT(ISERROR(SEARCH("Ear",N123)))</formula>
    </cfRule>
  </conditionalFormatting>
  <conditionalFormatting sqref="O6">
    <cfRule type="containsText" dxfId="931" priority="363" operator="containsText" text="Ear">
      <formula>NOT(ISERROR(SEARCH("Ear",O6)))</formula>
    </cfRule>
    <cfRule type="containsText" dxfId="930" priority="364" operator="containsText" text="fnd">
      <formula>NOT(ISERROR(SEARCH("fnd",O6)))</formula>
    </cfRule>
    <cfRule type="containsText" dxfId="929" priority="361" operator="containsText" text="Str">
      <formula>NOT(ISERROR(SEARCH("Str",O6)))</formula>
    </cfRule>
    <cfRule type="containsText" dxfId="928" priority="362" operator="containsText" text="Ere">
      <formula>NOT(ISERROR(SEARCH("Ere",O6)))</formula>
    </cfRule>
  </conditionalFormatting>
  <conditionalFormatting sqref="O15">
    <cfRule type="containsText" dxfId="927" priority="456" operator="containsText" text="fnd">
      <formula>NOT(ISERROR(SEARCH("fnd",O15)))</formula>
    </cfRule>
    <cfRule type="containsText" dxfId="926" priority="455" operator="containsText" text="Ear">
      <formula>NOT(ISERROR(SEARCH("Ear",O15)))</formula>
    </cfRule>
    <cfRule type="containsText" dxfId="925" priority="454" operator="containsText" text="Ere">
      <formula>NOT(ISERROR(SEARCH("Ere",O15)))</formula>
    </cfRule>
    <cfRule type="containsText" dxfId="924" priority="453" operator="containsText" text="Str">
      <formula>NOT(ISERROR(SEARCH("Str",O15)))</formula>
    </cfRule>
  </conditionalFormatting>
  <conditionalFormatting sqref="O24">
    <cfRule type="containsText" dxfId="923" priority="336" operator="containsText" text="fnd">
      <formula>NOT(ISERROR(SEARCH("fnd",O24)))</formula>
    </cfRule>
    <cfRule type="containsText" dxfId="922" priority="335" operator="containsText" text="Ear">
      <formula>NOT(ISERROR(SEARCH("Ear",O24)))</formula>
    </cfRule>
    <cfRule type="containsText" dxfId="921" priority="334" operator="containsText" text="Ere">
      <formula>NOT(ISERROR(SEARCH("Ere",O24)))</formula>
    </cfRule>
    <cfRule type="containsText" dxfId="920" priority="333" operator="containsText" text="Str">
      <formula>NOT(ISERROR(SEARCH("Str",O24)))</formula>
    </cfRule>
  </conditionalFormatting>
  <conditionalFormatting sqref="O87">
    <cfRule type="containsText" dxfId="919" priority="788" operator="containsText" text="fnd">
      <formula>NOT(ISERROR(SEARCH("fnd",O87)))</formula>
    </cfRule>
    <cfRule type="containsText" dxfId="918" priority="787" operator="containsText" text="Ear">
      <formula>NOT(ISERROR(SEARCH("Ear",O87)))</formula>
    </cfRule>
    <cfRule type="containsText" dxfId="917" priority="786" operator="containsText" text="Ere">
      <formula>NOT(ISERROR(SEARCH("Ere",O87)))</formula>
    </cfRule>
    <cfRule type="containsText" dxfId="916" priority="785" operator="containsText" text="Str">
      <formula>NOT(ISERROR(SEARCH("Str",O87)))</formula>
    </cfRule>
  </conditionalFormatting>
  <conditionalFormatting sqref="O114">
    <cfRule type="containsText" dxfId="915" priority="1261" operator="containsText" text="Str">
      <formula>NOT(ISERROR(SEARCH("Str",O114)))</formula>
    </cfRule>
    <cfRule type="containsText" dxfId="914" priority="1264" operator="containsText" text="fnd">
      <formula>NOT(ISERROR(SEARCH("fnd",O114)))</formula>
    </cfRule>
    <cfRule type="containsText" dxfId="913" priority="1262" operator="containsText" text="Ere">
      <formula>NOT(ISERROR(SEARCH("Ere",O114)))</formula>
    </cfRule>
    <cfRule type="containsText" dxfId="912" priority="1263" operator="containsText" text="Ear">
      <formula>NOT(ISERROR(SEARCH("Ear",O114)))</formula>
    </cfRule>
  </conditionalFormatting>
  <conditionalFormatting sqref="O138">
    <cfRule type="containsText" dxfId="911" priority="1059" operator="containsText" text="Ear">
      <formula>NOT(ISERROR(SEARCH("Ear",O138)))</formula>
    </cfRule>
    <cfRule type="containsText" dxfId="910" priority="1058" operator="containsText" text="Ere">
      <formula>NOT(ISERROR(SEARCH("Ere",O138)))</formula>
    </cfRule>
    <cfRule type="containsText" dxfId="909" priority="1060" operator="containsText" text="fnd">
      <formula>NOT(ISERROR(SEARCH("fnd",O138)))</formula>
    </cfRule>
    <cfRule type="containsText" dxfId="908" priority="1057" operator="containsText" text="Str">
      <formula>NOT(ISERROR(SEARCH("Str",O138)))</formula>
    </cfRule>
  </conditionalFormatting>
  <conditionalFormatting sqref="Q5:Q6">
    <cfRule type="containsText" dxfId="907" priority="313" operator="containsText" text="Str">
      <formula>NOT(ISERROR(SEARCH("Str",Q5)))</formula>
    </cfRule>
    <cfRule type="containsText" dxfId="906" priority="314" operator="containsText" text="Ere">
      <formula>NOT(ISERROR(SEARCH("Ere",Q5)))</formula>
    </cfRule>
    <cfRule type="containsText" dxfId="905" priority="315" operator="containsText" text="Ear">
      <formula>NOT(ISERROR(SEARCH("Ear",Q5)))</formula>
    </cfRule>
    <cfRule type="containsText" dxfId="904" priority="316" operator="containsText" text="fnd">
      <formula>NOT(ISERROR(SEARCH("fnd",Q5)))</formula>
    </cfRule>
  </conditionalFormatting>
  <conditionalFormatting sqref="Q14:Q15">
    <cfRule type="containsText" dxfId="903" priority="512" operator="containsText" text="fnd">
      <formula>NOT(ISERROR(SEARCH("fnd",Q14)))</formula>
    </cfRule>
    <cfRule type="containsText" dxfId="902" priority="509" operator="containsText" text="Str">
      <formula>NOT(ISERROR(SEARCH("Str",Q14)))</formula>
    </cfRule>
    <cfRule type="containsText" dxfId="901" priority="510" operator="containsText" text="Ere">
      <formula>NOT(ISERROR(SEARCH("Ere",Q14)))</formula>
    </cfRule>
    <cfRule type="containsText" dxfId="900" priority="511" operator="containsText" text="Ear">
      <formula>NOT(ISERROR(SEARCH("Ear",Q14)))</formula>
    </cfRule>
  </conditionalFormatting>
  <conditionalFormatting sqref="Q23:Q24">
    <cfRule type="containsText" dxfId="899" priority="331" operator="containsText" text="Ear">
      <formula>NOT(ISERROR(SEARCH("Ear",Q23)))</formula>
    </cfRule>
    <cfRule type="containsText" dxfId="898" priority="329" operator="containsText" text="Str">
      <formula>NOT(ISERROR(SEARCH("Str",Q23)))</formula>
    </cfRule>
    <cfRule type="containsText" dxfId="897" priority="332" operator="containsText" text="fnd">
      <formula>NOT(ISERROR(SEARCH("fnd",Q23)))</formula>
    </cfRule>
    <cfRule type="containsText" dxfId="896" priority="330" operator="containsText" text="Ere">
      <formula>NOT(ISERROR(SEARCH("Ere",Q23)))</formula>
    </cfRule>
  </conditionalFormatting>
  <conditionalFormatting sqref="Q32:Q33">
    <cfRule type="containsText" dxfId="895" priority="1056" operator="containsText" text="fnd">
      <formula>NOT(ISERROR(SEARCH("fnd",Q32)))</formula>
    </cfRule>
    <cfRule type="containsText" dxfId="894" priority="1053" operator="containsText" text="Str">
      <formula>NOT(ISERROR(SEARCH("Str",Q32)))</formula>
    </cfRule>
    <cfRule type="containsText" dxfId="893" priority="1054" operator="containsText" text="Ere">
      <formula>NOT(ISERROR(SEARCH("Ere",Q32)))</formula>
    </cfRule>
    <cfRule type="containsText" dxfId="892" priority="1055" operator="containsText" text="Ear">
      <formula>NOT(ISERROR(SEARCH("Ear",Q32)))</formula>
    </cfRule>
  </conditionalFormatting>
  <conditionalFormatting sqref="Q41:Q42">
    <cfRule type="containsText" dxfId="891" priority="1077" operator="containsText" text="Str">
      <formula>NOT(ISERROR(SEARCH("Str",Q41)))</formula>
    </cfRule>
    <cfRule type="containsText" dxfId="890" priority="1078" operator="containsText" text="Ere">
      <formula>NOT(ISERROR(SEARCH("Ere",Q41)))</formula>
    </cfRule>
    <cfRule type="containsText" dxfId="889" priority="1079" operator="containsText" text="Ear">
      <formula>NOT(ISERROR(SEARCH("Ear",Q41)))</formula>
    </cfRule>
    <cfRule type="containsText" dxfId="888" priority="1080" operator="containsText" text="fnd">
      <formula>NOT(ISERROR(SEARCH("fnd",Q41)))</formula>
    </cfRule>
  </conditionalFormatting>
  <conditionalFormatting sqref="Q59">
    <cfRule type="containsText" dxfId="887" priority="1141" operator="containsText" text="Str">
      <formula>NOT(ISERROR(SEARCH("Str",Q59)))</formula>
    </cfRule>
    <cfRule type="containsText" dxfId="886" priority="1143" operator="containsText" text="Ear">
      <formula>NOT(ISERROR(SEARCH("Ear",Q59)))</formula>
    </cfRule>
    <cfRule type="containsText" dxfId="885" priority="1142" operator="containsText" text="Ere">
      <formula>NOT(ISERROR(SEARCH("Ere",Q59)))</formula>
    </cfRule>
    <cfRule type="containsText" dxfId="884" priority="1144" operator="containsText" text="fnd">
      <formula>NOT(ISERROR(SEARCH("fnd",Q59)))</formula>
    </cfRule>
  </conditionalFormatting>
  <conditionalFormatting sqref="Q68">
    <cfRule type="containsText" dxfId="883" priority="720" operator="containsText" text="fnd">
      <formula>NOT(ISERROR(SEARCH("fnd",Q68)))</formula>
    </cfRule>
    <cfRule type="containsText" dxfId="882" priority="719" operator="containsText" text="Ear">
      <formula>NOT(ISERROR(SEARCH("Ear",Q68)))</formula>
    </cfRule>
    <cfRule type="containsText" dxfId="881" priority="718" operator="containsText" text="Ere">
      <formula>NOT(ISERROR(SEARCH("Ere",Q68)))</formula>
    </cfRule>
    <cfRule type="containsText" dxfId="880" priority="717" operator="containsText" text="Str">
      <formula>NOT(ISERROR(SEARCH("Str",Q68)))</formula>
    </cfRule>
  </conditionalFormatting>
  <conditionalFormatting sqref="Q95">
    <cfRule type="containsText" dxfId="879" priority="1100" operator="containsText" text="fnd">
      <formula>NOT(ISERROR(SEARCH("fnd",Q95)))</formula>
    </cfRule>
    <cfRule type="containsText" dxfId="878" priority="1099" operator="containsText" text="Ear">
      <formula>NOT(ISERROR(SEARCH("Ear",Q95)))</formula>
    </cfRule>
    <cfRule type="containsText" dxfId="877" priority="1098" operator="containsText" text="Ere">
      <formula>NOT(ISERROR(SEARCH("Ere",Q95)))</formula>
    </cfRule>
    <cfRule type="containsText" dxfId="876" priority="1097" operator="containsText" text="Str">
      <formula>NOT(ISERROR(SEARCH("Str",Q95)))</formula>
    </cfRule>
  </conditionalFormatting>
  <conditionalFormatting sqref="Q104">
    <cfRule type="containsText" dxfId="875" priority="295" operator="containsText" text="Ear">
      <formula>NOT(ISERROR(SEARCH("Ear",Q104)))</formula>
    </cfRule>
    <cfRule type="containsText" dxfId="874" priority="294" operator="containsText" text="Ere">
      <formula>NOT(ISERROR(SEARCH("Ere",Q104)))</formula>
    </cfRule>
    <cfRule type="containsText" dxfId="873" priority="293" operator="containsText" text="Str">
      <formula>NOT(ISERROR(SEARCH("Str",Q104)))</formula>
    </cfRule>
    <cfRule type="containsText" dxfId="872" priority="296" operator="containsText" text="fnd">
      <formula>NOT(ISERROR(SEARCH("fnd",Q104)))</formula>
    </cfRule>
  </conditionalFormatting>
  <conditionalFormatting sqref="Q113">
    <cfRule type="containsText" dxfId="871" priority="221" operator="containsText" text="Str">
      <formula>NOT(ISERROR(SEARCH("Str",Q113)))</formula>
    </cfRule>
    <cfRule type="containsText" dxfId="870" priority="222" operator="containsText" text="Ere">
      <formula>NOT(ISERROR(SEARCH("Ere",Q113)))</formula>
    </cfRule>
    <cfRule type="containsText" dxfId="869" priority="223" operator="containsText" text="Ear">
      <formula>NOT(ISERROR(SEARCH("Ear",Q113)))</formula>
    </cfRule>
    <cfRule type="containsText" dxfId="868" priority="224" operator="containsText" text="fnd">
      <formula>NOT(ISERROR(SEARCH("fnd",Q113)))</formula>
    </cfRule>
  </conditionalFormatting>
  <conditionalFormatting sqref="Q122">
    <cfRule type="containsText" dxfId="867" priority="579" operator="containsText" text="Ear">
      <formula>NOT(ISERROR(SEARCH("Ear",Q122)))</formula>
    </cfRule>
    <cfRule type="containsText" dxfId="866" priority="580" operator="containsText" text="fnd">
      <formula>NOT(ISERROR(SEARCH("fnd",Q122)))</formula>
    </cfRule>
    <cfRule type="containsText" dxfId="865" priority="577" operator="containsText" text="Str">
      <formula>NOT(ISERROR(SEARCH("Str",Q122)))</formula>
    </cfRule>
    <cfRule type="containsText" dxfId="864" priority="578" operator="containsText" text="Ere">
      <formula>NOT(ISERROR(SEARCH("Ere",Q122)))</formula>
    </cfRule>
  </conditionalFormatting>
  <conditionalFormatting sqref="Q131:Q135">
    <cfRule type="containsText" dxfId="863" priority="948" operator="containsText" text="fnd">
      <formula>NOT(ISERROR(SEARCH("fnd",Q131)))</formula>
    </cfRule>
    <cfRule type="containsText" dxfId="862" priority="947" operator="containsText" text="Ear">
      <formula>NOT(ISERROR(SEARCH("Ear",Q131)))</formula>
    </cfRule>
    <cfRule type="containsText" dxfId="861" priority="946" operator="containsText" text="Ere">
      <formula>NOT(ISERROR(SEARCH("Ere",Q131)))</formula>
    </cfRule>
    <cfRule type="containsText" dxfId="860" priority="945" operator="containsText" text="Str">
      <formula>NOT(ISERROR(SEARCH("Str",Q131)))</formula>
    </cfRule>
  </conditionalFormatting>
  <conditionalFormatting sqref="Q51:R51">
    <cfRule type="containsText" dxfId="859" priority="1309" operator="containsText" text="Str">
      <formula>NOT(ISERROR(SEARCH("Str",Q51)))</formula>
    </cfRule>
    <cfRule type="containsText" dxfId="858" priority="1310" operator="containsText" text="Ere">
      <formula>NOT(ISERROR(SEARCH("Ere",Q51)))</formula>
    </cfRule>
    <cfRule type="containsText" dxfId="857" priority="1311" operator="containsText" text="Ear">
      <formula>NOT(ISERROR(SEARCH("Ear",Q51)))</formula>
    </cfRule>
    <cfRule type="containsText" dxfId="856" priority="1312" operator="containsText" text="fnd">
      <formula>NOT(ISERROR(SEARCH("fnd",Q51)))</formula>
    </cfRule>
  </conditionalFormatting>
  <conditionalFormatting sqref="Q60:R60">
    <cfRule type="containsText" dxfId="855" priority="1339" operator="containsText" text="Ear">
      <formula>NOT(ISERROR(SEARCH("Ear",Q60)))</formula>
    </cfRule>
    <cfRule type="containsText" dxfId="854" priority="1337" operator="containsText" text="Str">
      <formula>NOT(ISERROR(SEARCH("Str",Q60)))</formula>
    </cfRule>
    <cfRule type="containsText" dxfId="853" priority="1338" operator="containsText" text="Ere">
      <formula>NOT(ISERROR(SEARCH("Ere",Q60)))</formula>
    </cfRule>
    <cfRule type="containsText" dxfId="852" priority="1340" operator="containsText" text="fnd">
      <formula>NOT(ISERROR(SEARCH("fnd",Q60)))</formula>
    </cfRule>
  </conditionalFormatting>
  <conditionalFormatting sqref="Q69:R69">
    <cfRule type="containsText" dxfId="851" priority="723" operator="containsText" text="Ear">
      <formula>NOT(ISERROR(SEARCH("Ear",Q69)))</formula>
    </cfRule>
    <cfRule type="containsText" dxfId="850" priority="721" operator="containsText" text="Str">
      <formula>NOT(ISERROR(SEARCH("Str",Q69)))</formula>
    </cfRule>
    <cfRule type="containsText" dxfId="849" priority="722" operator="containsText" text="Ere">
      <formula>NOT(ISERROR(SEARCH("Ere",Q69)))</formula>
    </cfRule>
    <cfRule type="containsText" dxfId="848" priority="724" operator="containsText" text="fnd">
      <formula>NOT(ISERROR(SEARCH("fnd",Q69)))</formula>
    </cfRule>
  </conditionalFormatting>
  <conditionalFormatting sqref="Q86:R87">
    <cfRule type="containsText" dxfId="847" priority="984" operator="containsText" text="fnd">
      <formula>NOT(ISERROR(SEARCH("fnd",Q86)))</formula>
    </cfRule>
    <cfRule type="containsText" dxfId="846" priority="981" operator="containsText" text="Str">
      <formula>NOT(ISERROR(SEARCH("Str",Q86)))</formula>
    </cfRule>
    <cfRule type="containsText" dxfId="845" priority="982" operator="containsText" text="Ere">
      <formula>NOT(ISERROR(SEARCH("Ere",Q86)))</formula>
    </cfRule>
    <cfRule type="containsText" dxfId="844" priority="983" operator="containsText" text="Ear">
      <formula>NOT(ISERROR(SEARCH("Ear",Q86)))</formula>
    </cfRule>
  </conditionalFormatting>
  <conditionalFormatting sqref="Q96:R96">
    <cfRule type="containsText" dxfId="843" priority="1173" operator="containsText" text="Str">
      <formula>NOT(ISERROR(SEARCH("Str",Q96)))</formula>
    </cfRule>
    <cfRule type="containsText" dxfId="842" priority="1176" operator="containsText" text="fnd">
      <formula>NOT(ISERROR(SEARCH("fnd",Q96)))</formula>
    </cfRule>
    <cfRule type="containsText" dxfId="841" priority="1175" operator="containsText" text="Ear">
      <formula>NOT(ISERROR(SEARCH("Ear",Q96)))</formula>
    </cfRule>
    <cfRule type="containsText" dxfId="840" priority="1174" operator="containsText" text="Ere">
      <formula>NOT(ISERROR(SEARCH("Ere",Q96)))</formula>
    </cfRule>
  </conditionalFormatting>
  <conditionalFormatting sqref="Q105:R105">
    <cfRule type="containsText" dxfId="839" priority="299" operator="containsText" text="Ear">
      <formula>NOT(ISERROR(SEARCH("Ear",Q105)))</formula>
    </cfRule>
    <cfRule type="containsText" dxfId="838" priority="298" operator="containsText" text="Ere">
      <formula>NOT(ISERROR(SEARCH("Ere",Q105)))</formula>
    </cfRule>
    <cfRule type="containsText" dxfId="837" priority="297" operator="containsText" text="Str">
      <formula>NOT(ISERROR(SEARCH("Str",Q105)))</formula>
    </cfRule>
    <cfRule type="containsText" dxfId="836" priority="300" operator="containsText" text="fnd">
      <formula>NOT(ISERROR(SEARCH("fnd",Q105)))</formula>
    </cfRule>
  </conditionalFormatting>
  <conditionalFormatting sqref="Q114:R114">
    <cfRule type="containsText" dxfId="835" priority="226" operator="containsText" text="Ere">
      <formula>NOT(ISERROR(SEARCH("Ere",Q114)))</formula>
    </cfRule>
    <cfRule type="containsText" dxfId="834" priority="227" operator="containsText" text="Ear">
      <formula>NOT(ISERROR(SEARCH("Ear",Q114)))</formula>
    </cfRule>
    <cfRule type="containsText" dxfId="833" priority="225" operator="containsText" text="Str">
      <formula>NOT(ISERROR(SEARCH("Str",Q114)))</formula>
    </cfRule>
    <cfRule type="containsText" dxfId="832" priority="228" operator="containsText" text="fnd">
      <formula>NOT(ISERROR(SEARCH("fnd",Q114)))</formula>
    </cfRule>
  </conditionalFormatting>
  <conditionalFormatting sqref="Q123:R123">
    <cfRule type="containsText" dxfId="831" priority="582" operator="containsText" text="Ere">
      <formula>NOT(ISERROR(SEARCH("Ere",Q123)))</formula>
    </cfRule>
    <cfRule type="containsText" dxfId="830" priority="583" operator="containsText" text="Ear">
      <formula>NOT(ISERROR(SEARCH("Ear",Q123)))</formula>
    </cfRule>
    <cfRule type="containsText" dxfId="829" priority="581" operator="containsText" text="Str">
      <formula>NOT(ISERROR(SEARCH("Str",Q123)))</formula>
    </cfRule>
    <cfRule type="containsText" dxfId="828" priority="584" operator="containsText" text="fnd">
      <formula>NOT(ISERROR(SEARCH("fnd",Q123)))</formula>
    </cfRule>
  </conditionalFormatting>
  <conditionalFormatting sqref="R6">
    <cfRule type="containsText" dxfId="827" priority="311" operator="containsText" text="Ear">
      <formula>NOT(ISERROR(SEARCH("Ear",R6)))</formula>
    </cfRule>
    <cfRule type="containsText" dxfId="826" priority="310" operator="containsText" text="Ere">
      <formula>NOT(ISERROR(SEARCH("Ere",R6)))</formula>
    </cfRule>
    <cfRule type="containsText" dxfId="825" priority="309" operator="containsText" text="Str">
      <formula>NOT(ISERROR(SEARCH("Str",R6)))</formula>
    </cfRule>
    <cfRule type="containsText" dxfId="824" priority="312" operator="containsText" text="fnd">
      <formula>NOT(ISERROR(SEARCH("fnd",R6)))</formula>
    </cfRule>
  </conditionalFormatting>
  <conditionalFormatting sqref="R15">
    <cfRule type="containsText" dxfId="823" priority="505" operator="containsText" text="Str">
      <formula>NOT(ISERROR(SEARCH("Str",R15)))</formula>
    </cfRule>
    <cfRule type="containsText" dxfId="822" priority="506" operator="containsText" text="Ere">
      <formula>NOT(ISERROR(SEARCH("Ere",R15)))</formula>
    </cfRule>
    <cfRule type="containsText" dxfId="821" priority="507" operator="containsText" text="Ear">
      <formula>NOT(ISERROR(SEARCH("Ear",R15)))</formula>
    </cfRule>
    <cfRule type="containsText" dxfId="820" priority="508" operator="containsText" text="fnd">
      <formula>NOT(ISERROR(SEARCH("fnd",R15)))</formula>
    </cfRule>
  </conditionalFormatting>
  <conditionalFormatting sqref="R24">
    <cfRule type="containsText" dxfId="819" priority="325" operator="containsText" text="Str">
      <formula>NOT(ISERROR(SEARCH("Str",R24)))</formula>
    </cfRule>
    <cfRule type="containsText" dxfId="818" priority="326" operator="containsText" text="Ere">
      <formula>NOT(ISERROR(SEARCH("Ere",R24)))</formula>
    </cfRule>
    <cfRule type="containsText" dxfId="817" priority="327" operator="containsText" text="Ear">
      <formula>NOT(ISERROR(SEARCH("Ear",R24)))</formula>
    </cfRule>
    <cfRule type="containsText" dxfId="816" priority="328" operator="containsText" text="fnd">
      <formula>NOT(ISERROR(SEARCH("fnd",R24)))</formula>
    </cfRule>
  </conditionalFormatting>
  <conditionalFormatting sqref="R33">
    <cfRule type="containsText" dxfId="815" priority="1041" operator="containsText" text="Str">
      <formula>NOT(ISERROR(SEARCH("Str",R33)))</formula>
    </cfRule>
    <cfRule type="containsText" dxfId="814" priority="1042" operator="containsText" text="Ere">
      <formula>NOT(ISERROR(SEARCH("Ere",R33)))</formula>
    </cfRule>
    <cfRule type="containsText" dxfId="813" priority="1043" operator="containsText" text="Ear">
      <formula>NOT(ISERROR(SEARCH("Ear",R33)))</formula>
    </cfRule>
    <cfRule type="containsText" dxfId="812" priority="1044" operator="containsText" text="fnd">
      <formula>NOT(ISERROR(SEARCH("fnd",R33)))</formula>
    </cfRule>
  </conditionalFormatting>
  <conditionalFormatting sqref="R42">
    <cfRule type="containsText" dxfId="811" priority="987" operator="containsText" text="Ear">
      <formula>NOT(ISERROR(SEARCH("Ear",R42)))</formula>
    </cfRule>
    <cfRule type="containsText" dxfId="810" priority="988" operator="containsText" text="fnd">
      <formula>NOT(ISERROR(SEARCH("fnd",R42)))</formula>
    </cfRule>
    <cfRule type="containsText" dxfId="809" priority="985" operator="containsText" text="Str">
      <formula>NOT(ISERROR(SEARCH("Str",R42)))</formula>
    </cfRule>
    <cfRule type="containsText" dxfId="808" priority="986" operator="containsText" text="Ere">
      <formula>NOT(ISERROR(SEARCH("Ere",R42)))</formula>
    </cfRule>
  </conditionalFormatting>
  <conditionalFormatting sqref="T5:T6">
    <cfRule type="containsText" dxfId="807" priority="388" operator="containsText" text="fnd">
      <formula>NOT(ISERROR(SEARCH("fnd",T5)))</formula>
    </cfRule>
    <cfRule type="containsText" dxfId="806" priority="387" operator="containsText" text="Ear">
      <formula>NOT(ISERROR(SEARCH("Ear",T5)))</formula>
    </cfRule>
    <cfRule type="containsText" dxfId="805" priority="385" operator="containsText" text="Str">
      <formula>NOT(ISERROR(SEARCH("Str",T5)))</formula>
    </cfRule>
    <cfRule type="containsText" dxfId="804" priority="386" operator="containsText" text="Ere">
      <formula>NOT(ISERROR(SEARCH("Ere",T5)))</formula>
    </cfRule>
  </conditionalFormatting>
  <conditionalFormatting sqref="T14:T15">
    <cfRule type="containsText" dxfId="803" priority="544" operator="containsText" text="fnd">
      <formula>NOT(ISERROR(SEARCH("fnd",T14)))</formula>
    </cfRule>
    <cfRule type="containsText" dxfId="802" priority="541" operator="containsText" text="Str">
      <formula>NOT(ISERROR(SEARCH("Str",T14)))</formula>
    </cfRule>
    <cfRule type="containsText" dxfId="801" priority="542" operator="containsText" text="Ere">
      <formula>NOT(ISERROR(SEARCH("Ere",T14)))</formula>
    </cfRule>
    <cfRule type="containsText" dxfId="800" priority="543" operator="containsText" text="Ear">
      <formula>NOT(ISERROR(SEARCH("Ear",T14)))</formula>
    </cfRule>
  </conditionalFormatting>
  <conditionalFormatting sqref="T23:T24">
    <cfRule type="containsText" dxfId="799" priority="177" operator="containsText" text="Str">
      <formula>NOT(ISERROR(SEARCH("Str",T23)))</formula>
    </cfRule>
    <cfRule type="containsText" dxfId="798" priority="178" operator="containsText" text="Ere">
      <formula>NOT(ISERROR(SEARCH("Ere",T23)))</formula>
    </cfRule>
    <cfRule type="containsText" dxfId="797" priority="179" operator="containsText" text="Ear">
      <formula>NOT(ISERROR(SEARCH("Ear",T23)))</formula>
    </cfRule>
    <cfRule type="containsText" dxfId="796" priority="180" operator="containsText" text="fnd">
      <formula>NOT(ISERROR(SEARCH("fnd",T23)))</formula>
    </cfRule>
  </conditionalFormatting>
  <conditionalFormatting sqref="T32">
    <cfRule type="containsText" dxfId="795" priority="555" operator="containsText" text="Ear">
      <formula>NOT(ISERROR(SEARCH("Ear",T32)))</formula>
    </cfRule>
    <cfRule type="containsText" dxfId="794" priority="553" operator="containsText" text="Str">
      <formula>NOT(ISERROR(SEARCH("Str",T32)))</formula>
    </cfRule>
    <cfRule type="containsText" dxfId="793" priority="554" operator="containsText" text="Ere">
      <formula>NOT(ISERROR(SEARCH("Ere",T32)))</formula>
    </cfRule>
    <cfRule type="containsText" dxfId="792" priority="556" operator="containsText" text="fnd">
      <formula>NOT(ISERROR(SEARCH("fnd",T32)))</formula>
    </cfRule>
  </conditionalFormatting>
  <conditionalFormatting sqref="T41">
    <cfRule type="containsText" dxfId="791" priority="432" operator="containsText" text="fnd">
      <formula>NOT(ISERROR(SEARCH("fnd",T41)))</formula>
    </cfRule>
    <cfRule type="containsText" dxfId="790" priority="431" operator="containsText" text="Ear">
      <formula>NOT(ISERROR(SEARCH("Ear",T41)))</formula>
    </cfRule>
    <cfRule type="containsText" dxfId="789" priority="430" operator="containsText" text="Ere">
      <formula>NOT(ISERROR(SEARCH("Ere",T41)))</formula>
    </cfRule>
    <cfRule type="containsText" dxfId="788" priority="429" operator="containsText" text="Str">
      <formula>NOT(ISERROR(SEARCH("Str",T41)))</formula>
    </cfRule>
  </conditionalFormatting>
  <conditionalFormatting sqref="T59">
    <cfRule type="containsText" dxfId="787" priority="1108" operator="containsText" text="fnd">
      <formula>NOT(ISERROR(SEARCH("fnd",T59)))</formula>
    </cfRule>
    <cfRule type="containsText" dxfId="786" priority="1107" operator="containsText" text="Ear">
      <formula>NOT(ISERROR(SEARCH("Ear",T59)))</formula>
    </cfRule>
    <cfRule type="containsText" dxfId="785" priority="1106" operator="containsText" text="Ere">
      <formula>NOT(ISERROR(SEARCH("Ere",T59)))</formula>
    </cfRule>
    <cfRule type="containsText" dxfId="784" priority="1105" operator="containsText" text="Str">
      <formula>NOT(ISERROR(SEARCH("Str",T59)))</formula>
    </cfRule>
  </conditionalFormatting>
  <conditionalFormatting sqref="T68">
    <cfRule type="containsText" dxfId="783" priority="960" operator="containsText" text="fnd">
      <formula>NOT(ISERROR(SEARCH("fnd",T68)))</formula>
    </cfRule>
    <cfRule type="containsText" dxfId="782" priority="959" operator="containsText" text="Ear">
      <formula>NOT(ISERROR(SEARCH("Ear",T68)))</formula>
    </cfRule>
    <cfRule type="containsText" dxfId="781" priority="958" operator="containsText" text="Ere">
      <formula>NOT(ISERROR(SEARCH("Ere",T68)))</formula>
    </cfRule>
    <cfRule type="containsText" dxfId="780" priority="957" operator="containsText" text="Str">
      <formula>NOT(ISERROR(SEARCH("Str",T68)))</formula>
    </cfRule>
  </conditionalFormatting>
  <conditionalFormatting sqref="T95">
    <cfRule type="containsText" dxfId="779" priority="1093" operator="containsText" text="Str">
      <formula>NOT(ISERROR(SEARCH("Str",T95)))</formula>
    </cfRule>
    <cfRule type="containsText" dxfId="778" priority="1095" operator="containsText" text="Ear">
      <formula>NOT(ISERROR(SEARCH("Ear",T95)))</formula>
    </cfRule>
    <cfRule type="containsText" dxfId="777" priority="1096" operator="containsText" text="fnd">
      <formula>NOT(ISERROR(SEARCH("fnd",T95)))</formula>
    </cfRule>
    <cfRule type="containsText" dxfId="776" priority="1094" operator="containsText" text="Ere">
      <formula>NOT(ISERROR(SEARCH("Ere",T95)))</formula>
    </cfRule>
  </conditionalFormatting>
  <conditionalFormatting sqref="T104">
    <cfRule type="containsText" dxfId="775" priority="1239" operator="containsText" text="Ear">
      <formula>NOT(ISERROR(SEARCH("Ear",T104)))</formula>
    </cfRule>
    <cfRule type="containsText" dxfId="774" priority="1238" operator="containsText" text="Ere">
      <formula>NOT(ISERROR(SEARCH("Ere",T104)))</formula>
    </cfRule>
    <cfRule type="containsText" dxfId="773" priority="1237" operator="containsText" text="Str">
      <formula>NOT(ISERROR(SEARCH("Str",T104)))</formula>
    </cfRule>
    <cfRule type="containsText" dxfId="772" priority="1240" operator="containsText" text="fnd">
      <formula>NOT(ISERROR(SEARCH("fnd",T104)))</formula>
    </cfRule>
  </conditionalFormatting>
  <conditionalFormatting sqref="T113">
    <cfRule type="containsText" dxfId="771" priority="1204" operator="containsText" text="fnd">
      <formula>NOT(ISERROR(SEARCH("fnd",T113)))</formula>
    </cfRule>
    <cfRule type="containsText" dxfId="770" priority="1202" operator="containsText" text="Ere">
      <formula>NOT(ISERROR(SEARCH("Ere",T113)))</formula>
    </cfRule>
    <cfRule type="containsText" dxfId="769" priority="1203" operator="containsText" text="Ear">
      <formula>NOT(ISERROR(SEARCH("Ear",T113)))</formula>
    </cfRule>
    <cfRule type="containsText" dxfId="768" priority="1201" operator="containsText" text="Str">
      <formula>NOT(ISERROR(SEARCH("Str",T113)))</formula>
    </cfRule>
  </conditionalFormatting>
  <conditionalFormatting sqref="T122">
    <cfRule type="containsText" dxfId="767" priority="562" operator="containsText" text="Ere">
      <formula>NOT(ISERROR(SEARCH("Ere",T122)))</formula>
    </cfRule>
    <cfRule type="containsText" dxfId="766" priority="563" operator="containsText" text="Ear">
      <formula>NOT(ISERROR(SEARCH("Ear",T122)))</formula>
    </cfRule>
    <cfRule type="containsText" dxfId="765" priority="564" operator="containsText" text="fnd">
      <formula>NOT(ISERROR(SEARCH("fnd",T122)))</formula>
    </cfRule>
    <cfRule type="containsText" dxfId="764" priority="561" operator="containsText" text="Str">
      <formula>NOT(ISERROR(SEARCH("Str",T122)))</formula>
    </cfRule>
  </conditionalFormatting>
  <conditionalFormatting sqref="T132:T135">
    <cfRule type="containsText" dxfId="763" priority="931" operator="containsText" text="Ear">
      <formula>NOT(ISERROR(SEARCH("Ear",T132)))</formula>
    </cfRule>
    <cfRule type="containsText" dxfId="762" priority="929" operator="containsText" text="Str">
      <formula>NOT(ISERROR(SEARCH("Str",T132)))</formula>
    </cfRule>
    <cfRule type="containsText" dxfId="761" priority="930" operator="containsText" text="Ere">
      <formula>NOT(ISERROR(SEARCH("Ere",T132)))</formula>
    </cfRule>
    <cfRule type="containsText" dxfId="760" priority="932" operator="containsText" text="fnd">
      <formula>NOT(ISERROR(SEARCH("fnd",T132)))</formula>
    </cfRule>
  </conditionalFormatting>
  <conditionalFormatting sqref="T33:U33">
    <cfRule type="containsText" dxfId="759" priority="559" operator="containsText" text="Ear">
      <formula>NOT(ISERROR(SEARCH("Ear",T33)))</formula>
    </cfRule>
    <cfRule type="containsText" dxfId="758" priority="560" operator="containsText" text="fnd">
      <formula>NOT(ISERROR(SEARCH("fnd",T33)))</formula>
    </cfRule>
    <cfRule type="containsText" dxfId="757" priority="557" operator="containsText" text="Str">
      <formula>NOT(ISERROR(SEARCH("Str",T33)))</formula>
    </cfRule>
    <cfRule type="containsText" dxfId="756" priority="558" operator="containsText" text="Ere">
      <formula>NOT(ISERROR(SEARCH("Ere",T33)))</formula>
    </cfRule>
  </conditionalFormatting>
  <conditionalFormatting sqref="T42:U42">
    <cfRule type="containsText" dxfId="755" priority="436" operator="containsText" text="fnd">
      <formula>NOT(ISERROR(SEARCH("fnd",T42)))</formula>
    </cfRule>
    <cfRule type="containsText" dxfId="754" priority="435" operator="containsText" text="Ear">
      <formula>NOT(ISERROR(SEARCH("Ear",T42)))</formula>
    </cfRule>
    <cfRule type="containsText" dxfId="753" priority="434" operator="containsText" text="Ere">
      <formula>NOT(ISERROR(SEARCH("Ere",T42)))</formula>
    </cfRule>
    <cfRule type="containsText" dxfId="752" priority="433" operator="containsText" text="Str">
      <formula>NOT(ISERROR(SEARCH("Str",T42)))</formula>
    </cfRule>
  </conditionalFormatting>
  <conditionalFormatting sqref="T51:U51">
    <cfRule type="containsText" dxfId="751" priority="113" operator="containsText" text="Str">
      <formula>NOT(ISERROR(SEARCH("Str",T51)))</formula>
    </cfRule>
    <cfRule type="containsText" dxfId="750" priority="114" operator="containsText" text="Ere">
      <formula>NOT(ISERROR(SEARCH("Ere",T51)))</formula>
    </cfRule>
    <cfRule type="containsText" dxfId="749" priority="115" operator="containsText" text="Ear">
      <formula>NOT(ISERROR(SEARCH("Ear",T51)))</formula>
    </cfRule>
    <cfRule type="containsText" dxfId="748" priority="116" operator="containsText" text="fnd">
      <formula>NOT(ISERROR(SEARCH("fnd",T51)))</formula>
    </cfRule>
  </conditionalFormatting>
  <conditionalFormatting sqref="T60:U60">
    <cfRule type="containsText" dxfId="747" priority="1334" operator="containsText" text="Ere">
      <formula>NOT(ISERROR(SEARCH("Ere",T60)))</formula>
    </cfRule>
    <cfRule type="containsText" dxfId="746" priority="1335" operator="containsText" text="Ear">
      <formula>NOT(ISERROR(SEARCH("Ear",T60)))</formula>
    </cfRule>
    <cfRule type="containsText" dxfId="745" priority="1336" operator="containsText" text="fnd">
      <formula>NOT(ISERROR(SEARCH("fnd",T60)))</formula>
    </cfRule>
    <cfRule type="containsText" dxfId="744" priority="1333" operator="containsText" text="Str">
      <formula>NOT(ISERROR(SEARCH("Str",T60)))</formula>
    </cfRule>
  </conditionalFormatting>
  <conditionalFormatting sqref="T69:U69">
    <cfRule type="containsText" dxfId="743" priority="964" operator="containsText" text="fnd">
      <formula>NOT(ISERROR(SEARCH("fnd",T69)))</formula>
    </cfRule>
    <cfRule type="containsText" dxfId="742" priority="963" operator="containsText" text="Ear">
      <formula>NOT(ISERROR(SEARCH("Ear",T69)))</formula>
    </cfRule>
    <cfRule type="containsText" dxfId="741" priority="962" operator="containsText" text="Ere">
      <formula>NOT(ISERROR(SEARCH("Ere",T69)))</formula>
    </cfRule>
    <cfRule type="containsText" dxfId="740" priority="961" operator="containsText" text="Str">
      <formula>NOT(ISERROR(SEARCH("Str",T69)))</formula>
    </cfRule>
  </conditionalFormatting>
  <conditionalFormatting sqref="T78:U78">
    <cfRule type="containsText" dxfId="739" priority="1162" operator="containsText" text="Ere">
      <formula>NOT(ISERROR(SEARCH("Ere",T78)))</formula>
    </cfRule>
    <cfRule type="containsText" dxfId="738" priority="1161" operator="containsText" text="Str">
      <formula>NOT(ISERROR(SEARCH("Str",T78)))</formula>
    </cfRule>
    <cfRule type="containsText" dxfId="737" priority="1164" operator="containsText" text="fnd">
      <formula>NOT(ISERROR(SEARCH("fnd",T78)))</formula>
    </cfRule>
    <cfRule type="containsText" dxfId="736" priority="1163" operator="containsText" text="Ear">
      <formula>NOT(ISERROR(SEARCH("Ear",T78)))</formula>
    </cfRule>
  </conditionalFormatting>
  <conditionalFormatting sqref="T96:U96">
    <cfRule type="containsText" dxfId="735" priority="1172" operator="containsText" text="fnd">
      <formula>NOT(ISERROR(SEARCH("fnd",T96)))</formula>
    </cfRule>
    <cfRule type="containsText" dxfId="734" priority="1171" operator="containsText" text="Ear">
      <formula>NOT(ISERROR(SEARCH("Ear",T96)))</formula>
    </cfRule>
    <cfRule type="containsText" dxfId="733" priority="1170" operator="containsText" text="Ere">
      <formula>NOT(ISERROR(SEARCH("Ere",T96)))</formula>
    </cfRule>
    <cfRule type="containsText" dxfId="732" priority="1169" operator="containsText" text="Str">
      <formula>NOT(ISERROR(SEARCH("Str",T96)))</formula>
    </cfRule>
  </conditionalFormatting>
  <conditionalFormatting sqref="T105:U105">
    <cfRule type="containsText" dxfId="731" priority="1252" operator="containsText" text="fnd">
      <formula>NOT(ISERROR(SEARCH("fnd",T105)))</formula>
    </cfRule>
    <cfRule type="containsText" dxfId="730" priority="1251" operator="containsText" text="Ear">
      <formula>NOT(ISERROR(SEARCH("Ear",T105)))</formula>
    </cfRule>
    <cfRule type="containsText" dxfId="729" priority="1250" operator="containsText" text="Ere">
      <formula>NOT(ISERROR(SEARCH("Ere",T105)))</formula>
    </cfRule>
    <cfRule type="containsText" dxfId="728" priority="1249" operator="containsText" text="Str">
      <formula>NOT(ISERROR(SEARCH("Str",T105)))</formula>
    </cfRule>
  </conditionalFormatting>
  <conditionalFormatting sqref="T114:U114 W114:X114">
    <cfRule type="containsText" dxfId="727" priority="1258" operator="containsText" text="Ere">
      <formula>NOT(ISERROR(SEARCH("Ere",T114)))</formula>
    </cfRule>
    <cfRule type="containsText" dxfId="726" priority="1257" operator="containsText" text="Str">
      <formula>NOT(ISERROR(SEARCH("Str",T114)))</formula>
    </cfRule>
    <cfRule type="containsText" dxfId="725" priority="1259" operator="containsText" text="Ear">
      <formula>NOT(ISERROR(SEARCH("Ear",T114)))</formula>
    </cfRule>
    <cfRule type="containsText" dxfId="724" priority="1260" operator="containsText" text="fnd">
      <formula>NOT(ISERROR(SEARCH("fnd",T114)))</formula>
    </cfRule>
  </conditionalFormatting>
  <conditionalFormatting sqref="T123:U123">
    <cfRule type="containsText" dxfId="723" priority="566" operator="containsText" text="Ere">
      <formula>NOT(ISERROR(SEARCH("Ere",T123)))</formula>
    </cfRule>
    <cfRule type="containsText" dxfId="722" priority="568" operator="containsText" text="fnd">
      <formula>NOT(ISERROR(SEARCH("fnd",T123)))</formula>
    </cfRule>
    <cfRule type="containsText" dxfId="721" priority="567" operator="containsText" text="Ear">
      <formula>NOT(ISERROR(SEARCH("Ear",T123)))</formula>
    </cfRule>
    <cfRule type="containsText" dxfId="720" priority="565" operator="containsText" text="Str">
      <formula>NOT(ISERROR(SEARCH("Str",T123)))</formula>
    </cfRule>
  </conditionalFormatting>
  <conditionalFormatting sqref="U6">
    <cfRule type="containsText" dxfId="719" priority="384" operator="containsText" text="fnd">
      <formula>NOT(ISERROR(SEARCH("fnd",U6)))</formula>
    </cfRule>
    <cfRule type="containsText" dxfId="718" priority="383" operator="containsText" text="Ear">
      <formula>NOT(ISERROR(SEARCH("Ear",U6)))</formula>
    </cfRule>
    <cfRule type="containsText" dxfId="717" priority="382" operator="containsText" text="Ere">
      <formula>NOT(ISERROR(SEARCH("Ere",U6)))</formula>
    </cfRule>
    <cfRule type="containsText" dxfId="716" priority="381" operator="containsText" text="Str">
      <formula>NOT(ISERROR(SEARCH("Str",U6)))</formula>
    </cfRule>
  </conditionalFormatting>
  <conditionalFormatting sqref="U15">
    <cfRule type="containsText" dxfId="715" priority="540" operator="containsText" text="fnd">
      <formula>NOT(ISERROR(SEARCH("fnd",U15)))</formula>
    </cfRule>
    <cfRule type="containsText" dxfId="714" priority="539" operator="containsText" text="Ear">
      <formula>NOT(ISERROR(SEARCH("Ear",U15)))</formula>
    </cfRule>
    <cfRule type="containsText" dxfId="713" priority="538" operator="containsText" text="Ere">
      <formula>NOT(ISERROR(SEARCH("Ere",U15)))</formula>
    </cfRule>
    <cfRule type="containsText" dxfId="712" priority="537" operator="containsText" text="Str">
      <formula>NOT(ISERROR(SEARCH("Str",U15)))</formula>
    </cfRule>
  </conditionalFormatting>
  <conditionalFormatting sqref="U24">
    <cfRule type="containsText" dxfId="711" priority="175" operator="containsText" text="Ear">
      <formula>NOT(ISERROR(SEARCH("Ear",U24)))</formula>
    </cfRule>
    <cfRule type="containsText" dxfId="710" priority="176" operator="containsText" text="fnd">
      <formula>NOT(ISERROR(SEARCH("fnd",U24)))</formula>
    </cfRule>
    <cfRule type="containsText" dxfId="709" priority="173" operator="containsText" text="Str">
      <formula>NOT(ISERROR(SEARCH("Str",U24)))</formula>
    </cfRule>
    <cfRule type="containsText" dxfId="708" priority="174" operator="containsText" text="Ere">
      <formula>NOT(ISERROR(SEARCH("Ere",U24)))</formula>
    </cfRule>
  </conditionalFormatting>
  <conditionalFormatting sqref="W5:W6">
    <cfRule type="containsText" dxfId="707" priority="419" operator="containsText" text="Ear">
      <formula>NOT(ISERROR(SEARCH("Ear",W5)))</formula>
    </cfRule>
    <cfRule type="containsText" dxfId="706" priority="420" operator="containsText" text="fnd">
      <formula>NOT(ISERROR(SEARCH("fnd",W5)))</formula>
    </cfRule>
    <cfRule type="containsText" dxfId="705" priority="418" operator="containsText" text="Ere">
      <formula>NOT(ISERROR(SEARCH("Ere",W5)))</formula>
    </cfRule>
    <cfRule type="containsText" dxfId="704" priority="417" operator="containsText" text="Str">
      <formula>NOT(ISERROR(SEARCH("Str",W5)))</formula>
    </cfRule>
  </conditionalFormatting>
  <conditionalFormatting sqref="W14:W15">
    <cfRule type="containsText" dxfId="703" priority="466" operator="containsText" text="Ere">
      <formula>NOT(ISERROR(SEARCH("Ere",W14)))</formula>
    </cfRule>
    <cfRule type="containsText" dxfId="702" priority="467" operator="containsText" text="Ear">
      <formula>NOT(ISERROR(SEARCH("Ear",W14)))</formula>
    </cfRule>
    <cfRule type="containsText" dxfId="701" priority="468" operator="containsText" text="fnd">
      <formula>NOT(ISERROR(SEARCH("fnd",W14)))</formula>
    </cfRule>
    <cfRule type="containsText" dxfId="700" priority="465" operator="containsText" text="Str">
      <formula>NOT(ISERROR(SEARCH("Str",W14)))</formula>
    </cfRule>
  </conditionalFormatting>
  <conditionalFormatting sqref="W23:W24">
    <cfRule type="containsText" dxfId="699" priority="574" operator="containsText" text="Ere">
      <formula>NOT(ISERROR(SEARCH("Ere",W23)))</formula>
    </cfRule>
    <cfRule type="containsText" dxfId="698" priority="575" operator="containsText" text="Ear">
      <formula>NOT(ISERROR(SEARCH("Ear",W23)))</formula>
    </cfRule>
    <cfRule type="containsText" dxfId="697" priority="576" operator="containsText" text="fnd">
      <formula>NOT(ISERROR(SEARCH("fnd",W23)))</formula>
    </cfRule>
    <cfRule type="containsText" dxfId="696" priority="573" operator="containsText" text="Str">
      <formula>NOT(ISERROR(SEARCH("Str",W23)))</formula>
    </cfRule>
  </conditionalFormatting>
  <conditionalFormatting sqref="W32">
    <cfRule type="containsText" dxfId="695" priority="734" operator="containsText" text="Ere">
      <formula>NOT(ISERROR(SEARCH("Ere",W32)))</formula>
    </cfRule>
    <cfRule type="containsText" dxfId="694" priority="733" operator="containsText" text="Str">
      <formula>NOT(ISERROR(SEARCH("Str",W32)))</formula>
    </cfRule>
    <cfRule type="containsText" dxfId="693" priority="736" operator="containsText" text="fnd">
      <formula>NOT(ISERROR(SEARCH("fnd",W32)))</formula>
    </cfRule>
    <cfRule type="containsText" dxfId="692" priority="735" operator="containsText" text="Ear">
      <formula>NOT(ISERROR(SEARCH("Ear",W32)))</formula>
    </cfRule>
  </conditionalFormatting>
  <conditionalFormatting sqref="W41:W42">
    <cfRule type="containsText" dxfId="691" priority="1048" operator="containsText" text="fnd">
      <formula>NOT(ISERROR(SEARCH("fnd",W41)))</formula>
    </cfRule>
    <cfRule type="containsText" dxfId="690" priority="1045" operator="containsText" text="Str">
      <formula>NOT(ISERROR(SEARCH("Str",W41)))</formula>
    </cfRule>
    <cfRule type="containsText" dxfId="689" priority="1046" operator="containsText" text="Ere">
      <formula>NOT(ISERROR(SEARCH("Ere",W41)))</formula>
    </cfRule>
    <cfRule type="containsText" dxfId="688" priority="1047" operator="containsText" text="Ear">
      <formula>NOT(ISERROR(SEARCH("Ear",W41)))</formula>
    </cfRule>
  </conditionalFormatting>
  <conditionalFormatting sqref="W59">
    <cfRule type="containsText" dxfId="687" priority="1189" operator="containsText" text="Str">
      <formula>NOT(ISERROR(SEARCH("Str",W59)))</formula>
    </cfRule>
    <cfRule type="containsText" dxfId="686" priority="1190" operator="containsText" text="Ere">
      <formula>NOT(ISERROR(SEARCH("Ere",W59)))</formula>
    </cfRule>
    <cfRule type="containsText" dxfId="685" priority="1191" operator="containsText" text="Ear">
      <formula>NOT(ISERROR(SEARCH("Ear",W59)))</formula>
    </cfRule>
    <cfRule type="containsText" dxfId="684" priority="1192" operator="containsText" text="fnd">
      <formula>NOT(ISERROR(SEARCH("fnd",W59)))</formula>
    </cfRule>
  </conditionalFormatting>
  <conditionalFormatting sqref="W68:W69">
    <cfRule type="containsText" dxfId="683" priority="1193" operator="containsText" text="Str">
      <formula>NOT(ISERROR(SEARCH("Str",W68)))</formula>
    </cfRule>
    <cfRule type="containsText" dxfId="682" priority="1194" operator="containsText" text="Ere">
      <formula>NOT(ISERROR(SEARCH("Ere",W68)))</formula>
    </cfRule>
    <cfRule type="containsText" dxfId="681" priority="1195" operator="containsText" text="Ear">
      <formula>NOT(ISERROR(SEARCH("Ear",W68)))</formula>
    </cfRule>
    <cfRule type="containsText" dxfId="680" priority="1196" operator="containsText" text="fnd">
      <formula>NOT(ISERROR(SEARCH("fnd",W68)))</formula>
    </cfRule>
  </conditionalFormatting>
  <conditionalFormatting sqref="W77">
    <cfRule type="containsText" dxfId="679" priority="1101" operator="containsText" text="Str">
      <formula>NOT(ISERROR(SEARCH("Str",W77)))</formula>
    </cfRule>
    <cfRule type="containsText" dxfId="678" priority="1102" operator="containsText" text="Ere">
      <formula>NOT(ISERROR(SEARCH("Ere",W77)))</formula>
    </cfRule>
    <cfRule type="containsText" dxfId="677" priority="1103" operator="containsText" text="Ear">
      <formula>NOT(ISERROR(SEARCH("Ear",W77)))</formula>
    </cfRule>
    <cfRule type="containsText" dxfId="676" priority="1104" operator="containsText" text="fnd">
      <formula>NOT(ISERROR(SEARCH("fnd",W77)))</formula>
    </cfRule>
  </conditionalFormatting>
  <conditionalFormatting sqref="W95">
    <cfRule type="containsText" dxfId="675" priority="258" operator="containsText" text="Ere">
      <formula>NOT(ISERROR(SEARCH("Ere",W95)))</formula>
    </cfRule>
    <cfRule type="containsText" dxfId="674" priority="260" operator="containsText" text="fnd">
      <formula>NOT(ISERROR(SEARCH("fnd",W95)))</formula>
    </cfRule>
    <cfRule type="containsText" dxfId="673" priority="257" operator="containsText" text="Str">
      <formula>NOT(ISERROR(SEARCH("Str",W95)))</formula>
    </cfRule>
    <cfRule type="containsText" dxfId="672" priority="259" operator="containsText" text="Ear">
      <formula>NOT(ISERROR(SEARCH("Ear",W95)))</formula>
    </cfRule>
  </conditionalFormatting>
  <conditionalFormatting sqref="W104">
    <cfRule type="containsText" dxfId="671" priority="166" operator="containsText" text="Ere">
      <formula>NOT(ISERROR(SEARCH("Ere",W104)))</formula>
    </cfRule>
    <cfRule type="containsText" dxfId="670" priority="165" operator="containsText" text="Str">
      <formula>NOT(ISERROR(SEARCH("Str",W104)))</formula>
    </cfRule>
    <cfRule type="containsText" dxfId="669" priority="167" operator="containsText" text="Ear">
      <formula>NOT(ISERROR(SEARCH("Ear",W104)))</formula>
    </cfRule>
    <cfRule type="containsText" dxfId="668" priority="168" operator="containsText" text="fnd">
      <formula>NOT(ISERROR(SEARCH("fnd",W104)))</formula>
    </cfRule>
  </conditionalFormatting>
  <conditionalFormatting sqref="W113">
    <cfRule type="containsText" dxfId="667" priority="1209" operator="containsText" text="Str">
      <formula>NOT(ISERROR(SEARCH("Str",W113)))</formula>
    </cfRule>
    <cfRule type="containsText" dxfId="666" priority="1210" operator="containsText" text="Ere">
      <formula>NOT(ISERROR(SEARCH("Ere",W113)))</formula>
    </cfRule>
    <cfRule type="containsText" dxfId="665" priority="1211" operator="containsText" text="Ear">
      <formula>NOT(ISERROR(SEARCH("Ear",W113)))</formula>
    </cfRule>
    <cfRule type="containsText" dxfId="664" priority="1212" operator="containsText" text="fnd">
      <formula>NOT(ISERROR(SEARCH("fnd",W113)))</formula>
    </cfRule>
  </conditionalFormatting>
  <conditionalFormatting sqref="W122">
    <cfRule type="containsText" dxfId="663" priority="515" operator="containsText" text="Ear">
      <formula>NOT(ISERROR(SEARCH("Ear",W122)))</formula>
    </cfRule>
    <cfRule type="containsText" dxfId="662" priority="513" operator="containsText" text="Str">
      <formula>NOT(ISERROR(SEARCH("Str",W122)))</formula>
    </cfRule>
    <cfRule type="containsText" dxfId="661" priority="514" operator="containsText" text="Ere">
      <formula>NOT(ISERROR(SEARCH("Ere",W122)))</formula>
    </cfRule>
    <cfRule type="containsText" dxfId="660" priority="516" operator="containsText" text="fnd">
      <formula>NOT(ISERROR(SEARCH("fnd",W122)))</formula>
    </cfRule>
  </conditionalFormatting>
  <conditionalFormatting sqref="W132:W135">
    <cfRule type="containsText" dxfId="659" priority="925" operator="containsText" text="Str">
      <formula>NOT(ISERROR(SEARCH("Str",W132)))</formula>
    </cfRule>
    <cfRule type="containsText" dxfId="658" priority="926" operator="containsText" text="Ere">
      <formula>NOT(ISERROR(SEARCH("Ere",W132)))</formula>
    </cfRule>
    <cfRule type="containsText" dxfId="657" priority="927" operator="containsText" text="Ear">
      <formula>NOT(ISERROR(SEARCH("Ear",W132)))</formula>
    </cfRule>
    <cfRule type="containsText" dxfId="656" priority="928" operator="containsText" text="fnd">
      <formula>NOT(ISERROR(SEARCH("fnd",W132)))</formula>
    </cfRule>
  </conditionalFormatting>
  <conditionalFormatting sqref="W33:X33">
    <cfRule type="containsText" dxfId="655" priority="738" operator="containsText" text="Ere">
      <formula>NOT(ISERROR(SEARCH("Ere",W33)))</formula>
    </cfRule>
    <cfRule type="containsText" dxfId="654" priority="737" operator="containsText" text="Str">
      <formula>NOT(ISERROR(SEARCH("Str",W33)))</formula>
    </cfRule>
    <cfRule type="containsText" dxfId="653" priority="739" operator="containsText" text="Ear">
      <formula>NOT(ISERROR(SEARCH("Ear",W33)))</formula>
    </cfRule>
    <cfRule type="containsText" dxfId="652" priority="740" operator="containsText" text="fnd">
      <formula>NOT(ISERROR(SEARCH("fnd",W33)))</formula>
    </cfRule>
  </conditionalFormatting>
  <conditionalFormatting sqref="W51:X51">
    <cfRule type="containsText" dxfId="651" priority="109" operator="containsText" text="Str">
      <formula>NOT(ISERROR(SEARCH("Str",W51)))</formula>
    </cfRule>
    <cfRule type="containsText" dxfId="650" priority="111" operator="containsText" text="Ear">
      <formula>NOT(ISERROR(SEARCH("Ear",W51)))</formula>
    </cfRule>
    <cfRule type="containsText" dxfId="649" priority="110" operator="containsText" text="Ere">
      <formula>NOT(ISERROR(SEARCH("Ere",W51)))</formula>
    </cfRule>
    <cfRule type="containsText" dxfId="648" priority="112" operator="containsText" text="fnd">
      <formula>NOT(ISERROR(SEARCH("fnd",W51)))</formula>
    </cfRule>
  </conditionalFormatting>
  <conditionalFormatting sqref="W60:X60">
    <cfRule type="containsText" dxfId="647" priority="1329" operator="containsText" text="Str">
      <formula>NOT(ISERROR(SEARCH("Str",W60)))</formula>
    </cfRule>
    <cfRule type="containsText" dxfId="646" priority="1330" operator="containsText" text="Ere">
      <formula>NOT(ISERROR(SEARCH("Ere",W60)))</formula>
    </cfRule>
    <cfRule type="containsText" dxfId="645" priority="1331" operator="containsText" text="Ear">
      <formula>NOT(ISERROR(SEARCH("Ear",W60)))</formula>
    </cfRule>
    <cfRule type="containsText" dxfId="644" priority="1332" operator="containsText" text="fnd">
      <formula>NOT(ISERROR(SEARCH("fnd",W60)))</formula>
    </cfRule>
  </conditionalFormatting>
  <conditionalFormatting sqref="W78:X78">
    <cfRule type="containsText" dxfId="643" priority="1159" operator="containsText" text="Ear">
      <formula>NOT(ISERROR(SEARCH("Ear",W78)))</formula>
    </cfRule>
    <cfRule type="containsText" dxfId="642" priority="1158" operator="containsText" text="Ere">
      <formula>NOT(ISERROR(SEARCH("Ere",W78)))</formula>
    </cfRule>
    <cfRule type="containsText" dxfId="641" priority="1157" operator="containsText" text="Str">
      <formula>NOT(ISERROR(SEARCH("Str",W78)))</formula>
    </cfRule>
    <cfRule type="containsText" dxfId="640" priority="1160" operator="containsText" text="fnd">
      <formula>NOT(ISERROR(SEARCH("fnd",W78)))</formula>
    </cfRule>
  </conditionalFormatting>
  <conditionalFormatting sqref="W86:X87">
    <cfRule type="containsText" dxfId="639" priority="1133" operator="containsText" text="Str">
      <formula>NOT(ISERROR(SEARCH("Str",W86)))</formula>
    </cfRule>
    <cfRule type="containsText" dxfId="638" priority="1135" operator="containsText" text="Ear">
      <formula>NOT(ISERROR(SEARCH("Ear",W86)))</formula>
    </cfRule>
    <cfRule type="containsText" dxfId="637" priority="1134" operator="containsText" text="Ere">
      <formula>NOT(ISERROR(SEARCH("Ere",W86)))</formula>
    </cfRule>
    <cfRule type="containsText" dxfId="636" priority="1136" operator="containsText" text="fnd">
      <formula>NOT(ISERROR(SEARCH("fnd",W86)))</formula>
    </cfRule>
  </conditionalFormatting>
  <conditionalFormatting sqref="W96:X96">
    <cfRule type="containsText" dxfId="635" priority="262" operator="containsText" text="Ere">
      <formula>NOT(ISERROR(SEARCH("Ere",W96)))</formula>
    </cfRule>
    <cfRule type="containsText" dxfId="634" priority="261" operator="containsText" text="Str">
      <formula>NOT(ISERROR(SEARCH("Str",W96)))</formula>
    </cfRule>
    <cfRule type="containsText" dxfId="633" priority="263" operator="containsText" text="Ear">
      <formula>NOT(ISERROR(SEARCH("Ear",W96)))</formula>
    </cfRule>
    <cfRule type="containsText" dxfId="632" priority="264" operator="containsText" text="fnd">
      <formula>NOT(ISERROR(SEARCH("fnd",W96)))</formula>
    </cfRule>
  </conditionalFormatting>
  <conditionalFormatting sqref="W105:X105">
    <cfRule type="containsText" dxfId="631" priority="170" operator="containsText" text="Ere">
      <formula>NOT(ISERROR(SEARCH("Ere",W105)))</formula>
    </cfRule>
    <cfRule type="containsText" dxfId="630" priority="169" operator="containsText" text="Str">
      <formula>NOT(ISERROR(SEARCH("Str",W105)))</formula>
    </cfRule>
    <cfRule type="containsText" dxfId="629" priority="171" operator="containsText" text="Ear">
      <formula>NOT(ISERROR(SEARCH("Ear",W105)))</formula>
    </cfRule>
    <cfRule type="containsText" dxfId="628" priority="172" operator="containsText" text="fnd">
      <formula>NOT(ISERROR(SEARCH("fnd",W105)))</formula>
    </cfRule>
  </conditionalFormatting>
  <conditionalFormatting sqref="W123:X123">
    <cfRule type="containsText" dxfId="627" priority="517" operator="containsText" text="Str">
      <formula>NOT(ISERROR(SEARCH("Str",W123)))</formula>
    </cfRule>
    <cfRule type="containsText" dxfId="626" priority="519" operator="containsText" text="Ear">
      <formula>NOT(ISERROR(SEARCH("Ear",W123)))</formula>
    </cfRule>
    <cfRule type="containsText" dxfId="625" priority="518" operator="containsText" text="Ere">
      <formula>NOT(ISERROR(SEARCH("Ere",W123)))</formula>
    </cfRule>
    <cfRule type="containsText" dxfId="624" priority="520" operator="containsText" text="fnd">
      <formula>NOT(ISERROR(SEARCH("fnd",W123)))</formula>
    </cfRule>
  </conditionalFormatting>
  <conditionalFormatting sqref="X6">
    <cfRule type="containsText" dxfId="623" priority="416" operator="containsText" text="fnd">
      <formula>NOT(ISERROR(SEARCH("fnd",X6)))</formula>
    </cfRule>
    <cfRule type="containsText" dxfId="622" priority="415" operator="containsText" text="Ear">
      <formula>NOT(ISERROR(SEARCH("Ear",X6)))</formula>
    </cfRule>
    <cfRule type="containsText" dxfId="621" priority="414" operator="containsText" text="Ere">
      <formula>NOT(ISERROR(SEARCH("Ere",X6)))</formula>
    </cfRule>
    <cfRule type="containsText" dxfId="620" priority="413" operator="containsText" text="Str">
      <formula>NOT(ISERROR(SEARCH("Str",X6)))</formula>
    </cfRule>
  </conditionalFormatting>
  <conditionalFormatting sqref="X15">
    <cfRule type="containsText" dxfId="619" priority="461" operator="containsText" text="Str">
      <formula>NOT(ISERROR(SEARCH("Str",X15)))</formula>
    </cfRule>
    <cfRule type="containsText" dxfId="618" priority="462" operator="containsText" text="Ere">
      <formula>NOT(ISERROR(SEARCH("Ere",X15)))</formula>
    </cfRule>
    <cfRule type="containsText" dxfId="617" priority="463" operator="containsText" text="Ear">
      <formula>NOT(ISERROR(SEARCH("Ear",X15)))</formula>
    </cfRule>
    <cfRule type="containsText" dxfId="616" priority="464" operator="containsText" text="fnd">
      <formula>NOT(ISERROR(SEARCH("fnd",X15)))</formula>
    </cfRule>
  </conditionalFormatting>
  <conditionalFormatting sqref="X24">
    <cfRule type="containsText" dxfId="615" priority="572" operator="containsText" text="fnd">
      <formula>NOT(ISERROR(SEARCH("fnd",X24)))</formula>
    </cfRule>
    <cfRule type="containsText" dxfId="614" priority="569" operator="containsText" text="Str">
      <formula>NOT(ISERROR(SEARCH("Str",X24)))</formula>
    </cfRule>
    <cfRule type="containsText" dxfId="613" priority="570" operator="containsText" text="Ere">
      <formula>NOT(ISERROR(SEARCH("Ere",X24)))</formula>
    </cfRule>
    <cfRule type="containsText" dxfId="612" priority="571" operator="containsText" text="Ear">
      <formula>NOT(ISERROR(SEARCH("Ear",X24)))</formula>
    </cfRule>
  </conditionalFormatting>
  <conditionalFormatting sqref="X42">
    <cfRule type="containsText" dxfId="611" priority="1024" operator="containsText" text="fnd">
      <formula>NOT(ISERROR(SEARCH("fnd",X42)))</formula>
    </cfRule>
    <cfRule type="containsText" dxfId="610" priority="1021" operator="containsText" text="Str">
      <formula>NOT(ISERROR(SEARCH("Str",X42)))</formula>
    </cfRule>
    <cfRule type="containsText" dxfId="609" priority="1022" operator="containsText" text="Ere">
      <formula>NOT(ISERROR(SEARCH("Ere",X42)))</formula>
    </cfRule>
    <cfRule type="containsText" dxfId="608" priority="1023" operator="containsText" text="Ear">
      <formula>NOT(ISERROR(SEARCH("Ear",X42)))</formula>
    </cfRule>
  </conditionalFormatting>
  <conditionalFormatting sqref="X69 Z69:AA69 AC69:AD69 AM69">
    <cfRule type="containsText" dxfId="607" priority="1297" operator="containsText" text="Str">
      <formula>NOT(ISERROR(SEARCH("Str",X69)))</formula>
    </cfRule>
    <cfRule type="containsText" dxfId="606" priority="1300" operator="containsText" text="fnd">
      <formula>NOT(ISERROR(SEARCH("fnd",X69)))</formula>
    </cfRule>
    <cfRule type="containsText" dxfId="605" priority="1298" operator="containsText" text="Ere">
      <formula>NOT(ISERROR(SEARCH("Ere",X69)))</formula>
    </cfRule>
    <cfRule type="containsText" dxfId="604" priority="1299" operator="containsText" text="Ear">
      <formula>NOT(ISERROR(SEARCH("Ear",X69)))</formula>
    </cfRule>
  </conditionalFormatting>
  <conditionalFormatting sqref="Z5:Z6">
    <cfRule type="containsText" dxfId="603" priority="243" operator="containsText" text="Ear">
      <formula>NOT(ISERROR(SEARCH("Ear",Z5)))</formula>
    </cfRule>
    <cfRule type="containsText" dxfId="602" priority="241" operator="containsText" text="Str">
      <formula>NOT(ISERROR(SEARCH("Str",Z5)))</formula>
    </cfRule>
    <cfRule type="containsText" dxfId="601" priority="242" operator="containsText" text="Ere">
      <formula>NOT(ISERROR(SEARCH("Ere",Z5)))</formula>
    </cfRule>
    <cfRule type="containsText" dxfId="600" priority="244" operator="containsText" text="fnd">
      <formula>NOT(ISERROR(SEARCH("fnd",Z5)))</formula>
    </cfRule>
  </conditionalFormatting>
  <conditionalFormatting sqref="Z14:Z15">
    <cfRule type="containsText" dxfId="599" priority="504" operator="containsText" text="fnd">
      <formula>NOT(ISERROR(SEARCH("fnd",Z14)))</formula>
    </cfRule>
    <cfRule type="containsText" dxfId="598" priority="503" operator="containsText" text="Ear">
      <formula>NOT(ISERROR(SEARCH("Ear",Z14)))</formula>
    </cfRule>
    <cfRule type="containsText" dxfId="597" priority="502" operator="containsText" text="Ere">
      <formula>NOT(ISERROR(SEARCH("Ere",Z14)))</formula>
    </cfRule>
    <cfRule type="containsText" dxfId="596" priority="501" operator="containsText" text="Str">
      <formula>NOT(ISERROR(SEARCH("Str",Z14)))</formula>
    </cfRule>
  </conditionalFormatting>
  <conditionalFormatting sqref="Z23:Z24">
    <cfRule type="containsText" dxfId="595" priority="778" operator="containsText" text="Ere">
      <formula>NOT(ISERROR(SEARCH("Ere",Z23)))</formula>
    </cfRule>
    <cfRule type="containsText" dxfId="594" priority="777" operator="containsText" text="Str">
      <formula>NOT(ISERROR(SEARCH("Str",Z23)))</formula>
    </cfRule>
    <cfRule type="containsText" dxfId="593" priority="779" operator="containsText" text="Ear">
      <formula>NOT(ISERROR(SEARCH("Ear",Z23)))</formula>
    </cfRule>
    <cfRule type="containsText" dxfId="592" priority="780" operator="containsText" text="fnd">
      <formula>NOT(ISERROR(SEARCH("fnd",Z23)))</formula>
    </cfRule>
  </conditionalFormatting>
  <conditionalFormatting sqref="Z32">
    <cfRule type="containsText" dxfId="591" priority="711" operator="containsText" text="Ear">
      <formula>NOT(ISERROR(SEARCH("Ear",Z32)))</formula>
    </cfRule>
    <cfRule type="containsText" dxfId="590" priority="712" operator="containsText" text="fnd">
      <formula>NOT(ISERROR(SEARCH("fnd",Z32)))</formula>
    </cfRule>
    <cfRule type="containsText" dxfId="589" priority="710" operator="containsText" text="Ere">
      <formula>NOT(ISERROR(SEARCH("Ere",Z32)))</formula>
    </cfRule>
    <cfRule type="containsText" dxfId="588" priority="709" operator="containsText" text="Str">
      <formula>NOT(ISERROR(SEARCH("Str",Z32)))</formula>
    </cfRule>
  </conditionalFormatting>
  <conditionalFormatting sqref="Z41">
    <cfRule type="containsText" dxfId="587" priority="159" operator="containsText" text="Ear">
      <formula>NOT(ISERROR(SEARCH("Ear",Z41)))</formula>
    </cfRule>
    <cfRule type="containsText" dxfId="586" priority="158" operator="containsText" text="Ere">
      <formula>NOT(ISERROR(SEARCH("Ere",Z41)))</formula>
    </cfRule>
    <cfRule type="containsText" dxfId="585" priority="160" operator="containsText" text="fnd">
      <formula>NOT(ISERROR(SEARCH("fnd",Z41)))</formula>
    </cfRule>
    <cfRule type="containsText" dxfId="584" priority="157" operator="containsText" text="Str">
      <formula>NOT(ISERROR(SEARCH("Str",Z41)))</formula>
    </cfRule>
  </conditionalFormatting>
  <conditionalFormatting sqref="Z50">
    <cfRule type="containsText" dxfId="583" priority="977" operator="containsText" text="Str">
      <formula>NOT(ISERROR(SEARCH("Str",Z50)))</formula>
    </cfRule>
    <cfRule type="containsText" dxfId="582" priority="978" operator="containsText" text="Ere">
      <formula>NOT(ISERROR(SEARCH("Ere",Z50)))</formula>
    </cfRule>
    <cfRule type="containsText" dxfId="581" priority="979" operator="containsText" text="Ear">
      <formula>NOT(ISERROR(SEARCH("Ear",Z50)))</formula>
    </cfRule>
    <cfRule type="containsText" dxfId="580" priority="980" operator="containsText" text="fnd">
      <formula>NOT(ISERROR(SEARCH("fnd",Z50)))</formula>
    </cfRule>
  </conditionalFormatting>
  <conditionalFormatting sqref="Z59">
    <cfRule type="containsText" dxfId="579" priority="1205" operator="containsText" text="Str">
      <formula>NOT(ISERROR(SEARCH("Str",Z59)))</formula>
    </cfRule>
    <cfRule type="containsText" dxfId="578" priority="1207" operator="containsText" text="Ear">
      <formula>NOT(ISERROR(SEARCH("Ear",Z59)))</formula>
    </cfRule>
    <cfRule type="containsText" dxfId="577" priority="1208" operator="containsText" text="fnd">
      <formula>NOT(ISERROR(SEARCH("fnd",Z59)))</formula>
    </cfRule>
    <cfRule type="containsText" dxfId="576" priority="1206" operator="containsText" text="Ere">
      <formula>NOT(ISERROR(SEARCH("Ere",Z59)))</formula>
    </cfRule>
  </conditionalFormatting>
  <conditionalFormatting sqref="Z68">
    <cfRule type="containsText" dxfId="575" priority="956" operator="containsText" text="fnd">
      <formula>NOT(ISERROR(SEARCH("fnd",Z68)))</formula>
    </cfRule>
    <cfRule type="containsText" dxfId="574" priority="955" operator="containsText" text="Ear">
      <formula>NOT(ISERROR(SEARCH("Ear",Z68)))</formula>
    </cfRule>
    <cfRule type="containsText" dxfId="573" priority="954" operator="containsText" text="Ere">
      <formula>NOT(ISERROR(SEARCH("Ere",Z68)))</formula>
    </cfRule>
    <cfRule type="containsText" dxfId="572" priority="953" operator="containsText" text="Str">
      <formula>NOT(ISERROR(SEARCH("Str",Z68)))</formula>
    </cfRule>
  </conditionalFormatting>
  <conditionalFormatting sqref="Z95">
    <cfRule type="containsText" dxfId="571" priority="846" operator="containsText" text="Ere">
      <formula>NOT(ISERROR(SEARCH("Ere",Z95)))</formula>
    </cfRule>
    <cfRule type="containsText" dxfId="570" priority="845" operator="containsText" text="Str">
      <formula>NOT(ISERROR(SEARCH("Str",Z95)))</formula>
    </cfRule>
    <cfRule type="containsText" dxfId="569" priority="848" operator="containsText" text="fnd">
      <formula>NOT(ISERROR(SEARCH("fnd",Z95)))</formula>
    </cfRule>
    <cfRule type="containsText" dxfId="568" priority="847" operator="containsText" text="Ear">
      <formula>NOT(ISERROR(SEARCH("Ear",Z95)))</formula>
    </cfRule>
  </conditionalFormatting>
  <conditionalFormatting sqref="Z104">
    <cfRule type="containsText" dxfId="567" priority="743" operator="containsText" text="Ear">
      <formula>NOT(ISERROR(SEARCH("Ear",Z104)))</formula>
    </cfRule>
    <cfRule type="containsText" dxfId="566" priority="744" operator="containsText" text="fnd">
      <formula>NOT(ISERROR(SEARCH("fnd",Z104)))</formula>
    </cfRule>
    <cfRule type="containsText" dxfId="565" priority="742" operator="containsText" text="Ere">
      <formula>NOT(ISERROR(SEARCH("Ere",Z104)))</formula>
    </cfRule>
    <cfRule type="containsText" dxfId="564" priority="741" operator="containsText" text="Str">
      <formula>NOT(ISERROR(SEARCH("Str",Z104)))</formula>
    </cfRule>
  </conditionalFormatting>
  <conditionalFormatting sqref="Z113">
    <cfRule type="containsText" dxfId="563" priority="85" operator="containsText" text="Str">
      <formula>NOT(ISERROR(SEARCH("Str",Z113)))</formula>
    </cfRule>
    <cfRule type="containsText" dxfId="562" priority="86" operator="containsText" text="Ere">
      <formula>NOT(ISERROR(SEARCH("Ere",Z113)))</formula>
    </cfRule>
    <cfRule type="containsText" dxfId="561" priority="87" operator="containsText" text="Ear">
      <formula>NOT(ISERROR(SEARCH("Ear",Z113)))</formula>
    </cfRule>
    <cfRule type="containsText" dxfId="560" priority="88" operator="containsText" text="fnd">
      <formula>NOT(ISERROR(SEARCH("fnd",Z113)))</formula>
    </cfRule>
  </conditionalFormatting>
  <conditionalFormatting sqref="Z122">
    <cfRule type="containsText" dxfId="559" priority="596" operator="containsText" text="fnd">
      <formula>NOT(ISERROR(SEARCH("fnd",Z122)))</formula>
    </cfRule>
    <cfRule type="containsText" dxfId="558" priority="594" operator="containsText" text="Ere">
      <formula>NOT(ISERROR(SEARCH("Ere",Z122)))</formula>
    </cfRule>
    <cfRule type="containsText" dxfId="557" priority="593" operator="containsText" text="Str">
      <formula>NOT(ISERROR(SEARCH("Str",Z122)))</formula>
    </cfRule>
    <cfRule type="containsText" dxfId="556" priority="595" operator="containsText" text="Ear">
      <formula>NOT(ISERROR(SEARCH("Ear",Z122)))</formula>
    </cfRule>
  </conditionalFormatting>
  <conditionalFormatting sqref="Z132:Z135">
    <cfRule type="containsText" dxfId="555" priority="918" operator="containsText" text="Ere">
      <formula>NOT(ISERROR(SEARCH("Ere",Z132)))</formula>
    </cfRule>
    <cfRule type="containsText" dxfId="554" priority="920" operator="containsText" text="fnd">
      <formula>NOT(ISERROR(SEARCH("fnd",Z132)))</formula>
    </cfRule>
    <cfRule type="containsText" dxfId="553" priority="917" operator="containsText" text="Str">
      <formula>NOT(ISERROR(SEARCH("Str",Z132)))</formula>
    </cfRule>
    <cfRule type="containsText" dxfId="552" priority="919" operator="containsText" text="Ear">
      <formula>NOT(ISERROR(SEARCH("Ear",Z132)))</formula>
    </cfRule>
  </conditionalFormatting>
  <conditionalFormatting sqref="Z33:AA33">
    <cfRule type="containsText" dxfId="551" priority="713" operator="containsText" text="Str">
      <formula>NOT(ISERROR(SEARCH("Str",Z33)))</formula>
    </cfRule>
    <cfRule type="containsText" dxfId="550" priority="714" operator="containsText" text="Ere">
      <formula>NOT(ISERROR(SEARCH("Ere",Z33)))</formula>
    </cfRule>
    <cfRule type="containsText" dxfId="549" priority="715" operator="containsText" text="Ear">
      <formula>NOT(ISERROR(SEARCH("Ear",Z33)))</formula>
    </cfRule>
    <cfRule type="containsText" dxfId="548" priority="716" operator="containsText" text="fnd">
      <formula>NOT(ISERROR(SEARCH("fnd",Z33)))</formula>
    </cfRule>
  </conditionalFormatting>
  <conditionalFormatting sqref="Z42:AA42">
    <cfRule type="containsText" dxfId="547" priority="162" operator="containsText" text="Ere">
      <formula>NOT(ISERROR(SEARCH("Ere",Z42)))</formula>
    </cfRule>
    <cfRule type="containsText" dxfId="546" priority="161" operator="containsText" text="Str">
      <formula>NOT(ISERROR(SEARCH("Str",Z42)))</formula>
    </cfRule>
    <cfRule type="containsText" dxfId="545" priority="163" operator="containsText" text="Ear">
      <formula>NOT(ISERROR(SEARCH("Ear",Z42)))</formula>
    </cfRule>
    <cfRule type="containsText" dxfId="544" priority="164" operator="containsText" text="fnd">
      <formula>NOT(ISERROR(SEARCH("fnd",Z42)))</formula>
    </cfRule>
  </conditionalFormatting>
  <conditionalFormatting sqref="Z51:AA51">
    <cfRule type="containsText" dxfId="543" priority="1360" operator="containsText" text="fnd">
      <formula>NOT(ISERROR(SEARCH("fnd",Z51)))</formula>
    </cfRule>
    <cfRule type="containsText" dxfId="542" priority="1359" operator="containsText" text="Ear">
      <formula>NOT(ISERROR(SEARCH("Ear",Z51)))</formula>
    </cfRule>
    <cfRule type="containsText" dxfId="541" priority="1358" operator="containsText" text="Ere">
      <formula>NOT(ISERROR(SEARCH("Ere",Z51)))</formula>
    </cfRule>
    <cfRule type="containsText" dxfId="540" priority="1357" operator="containsText" text="Str">
      <formula>NOT(ISERROR(SEARCH("Str",Z51)))</formula>
    </cfRule>
  </conditionalFormatting>
  <conditionalFormatting sqref="Z60:AA60">
    <cfRule type="containsText" dxfId="539" priority="1326" operator="containsText" text="Ere">
      <formula>NOT(ISERROR(SEARCH("Ere",Z60)))</formula>
    </cfRule>
    <cfRule type="containsText" dxfId="538" priority="1327" operator="containsText" text="Ear">
      <formula>NOT(ISERROR(SEARCH("Ear",Z60)))</formula>
    </cfRule>
    <cfRule type="containsText" dxfId="537" priority="1328" operator="containsText" text="fnd">
      <formula>NOT(ISERROR(SEARCH("fnd",Z60)))</formula>
    </cfRule>
    <cfRule type="containsText" dxfId="536" priority="1325" operator="containsText" text="Str">
      <formula>NOT(ISERROR(SEARCH("Str",Z60)))</formula>
    </cfRule>
  </conditionalFormatting>
  <conditionalFormatting sqref="Z77:AA78">
    <cfRule type="containsText" dxfId="535" priority="1081" operator="containsText" text="Str">
      <formula>NOT(ISERROR(SEARCH("Str",Z77)))</formula>
    </cfRule>
    <cfRule type="containsText" dxfId="534" priority="1082" operator="containsText" text="Ere">
      <formula>NOT(ISERROR(SEARCH("Ere",Z77)))</formula>
    </cfRule>
    <cfRule type="containsText" dxfId="533" priority="1083" operator="containsText" text="Ear">
      <formula>NOT(ISERROR(SEARCH("Ear",Z77)))</formula>
    </cfRule>
    <cfRule type="containsText" dxfId="532" priority="1084" operator="containsText" text="fnd">
      <formula>NOT(ISERROR(SEARCH("fnd",Z77)))</formula>
    </cfRule>
  </conditionalFormatting>
  <conditionalFormatting sqref="Z86:AA87">
    <cfRule type="containsText" dxfId="531" priority="781" operator="containsText" text="Str">
      <formula>NOT(ISERROR(SEARCH("Str",Z86)))</formula>
    </cfRule>
    <cfRule type="containsText" dxfId="530" priority="783" operator="containsText" text="Ear">
      <formula>NOT(ISERROR(SEARCH("Ear",Z86)))</formula>
    </cfRule>
    <cfRule type="containsText" dxfId="529" priority="784" operator="containsText" text="fnd">
      <formula>NOT(ISERROR(SEARCH("fnd",Z86)))</formula>
    </cfRule>
    <cfRule type="containsText" dxfId="528" priority="782" operator="containsText" text="Ere">
      <formula>NOT(ISERROR(SEARCH("Ere",Z86)))</formula>
    </cfRule>
  </conditionalFormatting>
  <conditionalFormatting sqref="Z96:AA96">
    <cfRule type="containsText" dxfId="527" priority="852" operator="containsText" text="fnd">
      <formula>NOT(ISERROR(SEARCH("fnd",Z96)))</formula>
    </cfRule>
    <cfRule type="containsText" dxfId="526" priority="851" operator="containsText" text="Ear">
      <formula>NOT(ISERROR(SEARCH("Ear",Z96)))</formula>
    </cfRule>
    <cfRule type="containsText" dxfId="525" priority="850" operator="containsText" text="Ere">
      <formula>NOT(ISERROR(SEARCH("Ere",Z96)))</formula>
    </cfRule>
    <cfRule type="containsText" dxfId="524" priority="849" operator="containsText" text="Str">
      <formula>NOT(ISERROR(SEARCH("Str",Z96)))</formula>
    </cfRule>
  </conditionalFormatting>
  <conditionalFormatting sqref="Z105:AA105">
    <cfRule type="containsText" dxfId="523" priority="746" operator="containsText" text="Ere">
      <formula>NOT(ISERROR(SEARCH("Ere",Z105)))</formula>
    </cfRule>
    <cfRule type="containsText" dxfId="522" priority="747" operator="containsText" text="Ear">
      <formula>NOT(ISERROR(SEARCH("Ear",Z105)))</formula>
    </cfRule>
    <cfRule type="containsText" dxfId="521" priority="748" operator="containsText" text="fnd">
      <formula>NOT(ISERROR(SEARCH("fnd",Z105)))</formula>
    </cfRule>
    <cfRule type="containsText" dxfId="520" priority="745" operator="containsText" text="Str">
      <formula>NOT(ISERROR(SEARCH("Str",Z105)))</formula>
    </cfRule>
  </conditionalFormatting>
  <conditionalFormatting sqref="Z114:AA114">
    <cfRule type="containsText" dxfId="519" priority="92" operator="containsText" text="fnd">
      <formula>NOT(ISERROR(SEARCH("fnd",Z114)))</formula>
    </cfRule>
    <cfRule type="containsText" dxfId="518" priority="89" operator="containsText" text="Str">
      <formula>NOT(ISERROR(SEARCH("Str",Z114)))</formula>
    </cfRule>
    <cfRule type="containsText" dxfId="517" priority="90" operator="containsText" text="Ere">
      <formula>NOT(ISERROR(SEARCH("Ere",Z114)))</formula>
    </cfRule>
    <cfRule type="containsText" dxfId="516" priority="91" operator="containsText" text="Ear">
      <formula>NOT(ISERROR(SEARCH("Ear",Z114)))</formula>
    </cfRule>
  </conditionalFormatting>
  <conditionalFormatting sqref="Z123:AA123">
    <cfRule type="containsText" dxfId="515" priority="600" operator="containsText" text="fnd">
      <formula>NOT(ISERROR(SEARCH("fnd",Z123)))</formula>
    </cfRule>
    <cfRule type="containsText" dxfId="514" priority="599" operator="containsText" text="Ear">
      <formula>NOT(ISERROR(SEARCH("Ear",Z123)))</formula>
    </cfRule>
    <cfRule type="containsText" dxfId="513" priority="598" operator="containsText" text="Ere">
      <formula>NOT(ISERROR(SEARCH("Ere",Z123)))</formula>
    </cfRule>
    <cfRule type="containsText" dxfId="512" priority="597" operator="containsText" text="Str">
      <formula>NOT(ISERROR(SEARCH("Str",Z123)))</formula>
    </cfRule>
  </conditionalFormatting>
  <conditionalFormatting sqref="AA6">
    <cfRule type="containsText" dxfId="511" priority="239" operator="containsText" text="Ear">
      <formula>NOT(ISERROR(SEARCH("Ear",AA6)))</formula>
    </cfRule>
    <cfRule type="containsText" dxfId="510" priority="240" operator="containsText" text="fnd">
      <formula>NOT(ISERROR(SEARCH("fnd",AA6)))</formula>
    </cfRule>
    <cfRule type="containsText" dxfId="509" priority="238" operator="containsText" text="Ere">
      <formula>NOT(ISERROR(SEARCH("Ere",AA6)))</formula>
    </cfRule>
    <cfRule type="containsText" dxfId="508" priority="237" operator="containsText" text="Str">
      <formula>NOT(ISERROR(SEARCH("Str",AA6)))</formula>
    </cfRule>
  </conditionalFormatting>
  <conditionalFormatting sqref="AA15">
    <cfRule type="containsText" dxfId="507" priority="500" operator="containsText" text="fnd">
      <formula>NOT(ISERROR(SEARCH("fnd",AA15)))</formula>
    </cfRule>
    <cfRule type="containsText" dxfId="506" priority="497" operator="containsText" text="Str">
      <formula>NOT(ISERROR(SEARCH("Str",AA15)))</formula>
    </cfRule>
    <cfRule type="containsText" dxfId="505" priority="498" operator="containsText" text="Ere">
      <formula>NOT(ISERROR(SEARCH("Ere",AA15)))</formula>
    </cfRule>
    <cfRule type="containsText" dxfId="504" priority="499" operator="containsText" text="Ear">
      <formula>NOT(ISERROR(SEARCH("Ear",AA15)))</formula>
    </cfRule>
  </conditionalFormatting>
  <conditionalFormatting sqref="AA24">
    <cfRule type="containsText" dxfId="503" priority="772" operator="containsText" text="fnd">
      <formula>NOT(ISERROR(SEARCH("fnd",AA24)))</formula>
    </cfRule>
    <cfRule type="containsText" dxfId="502" priority="771" operator="containsText" text="Ear">
      <formula>NOT(ISERROR(SEARCH("Ear",AA24)))</formula>
    </cfRule>
    <cfRule type="containsText" dxfId="501" priority="770" operator="containsText" text="Ere">
      <formula>NOT(ISERROR(SEARCH("Ere",AA24)))</formula>
    </cfRule>
    <cfRule type="containsText" dxfId="500" priority="769" operator="containsText" text="Str">
      <formula>NOT(ISERROR(SEARCH("Str",AA24)))</formula>
    </cfRule>
  </conditionalFormatting>
  <conditionalFormatting sqref="AC5:AC6">
    <cfRule type="containsText" dxfId="499" priority="1076" operator="containsText" text="fnd">
      <formula>NOT(ISERROR(SEARCH("fnd",AC5)))</formula>
    </cfRule>
    <cfRule type="containsText" dxfId="498" priority="1075" operator="containsText" text="Ear">
      <formula>NOT(ISERROR(SEARCH("Ear",AC5)))</formula>
    </cfRule>
    <cfRule type="containsText" dxfId="497" priority="1074" operator="containsText" text="Ere">
      <formula>NOT(ISERROR(SEARCH("Ere",AC5)))</formula>
    </cfRule>
    <cfRule type="containsText" dxfId="496" priority="1073" operator="containsText" text="Str">
      <formula>NOT(ISERROR(SEARCH("Str",AC5)))</formula>
    </cfRule>
  </conditionalFormatting>
  <conditionalFormatting sqref="AC14:AC15">
    <cfRule type="containsText" dxfId="495" priority="82" operator="containsText" text="Ere">
      <formula>NOT(ISERROR(SEARCH("Ere",AC14)))</formula>
    </cfRule>
    <cfRule type="containsText" dxfId="494" priority="84" operator="containsText" text="fnd">
      <formula>NOT(ISERROR(SEARCH("fnd",AC14)))</formula>
    </cfRule>
    <cfRule type="containsText" dxfId="493" priority="83" operator="containsText" text="Ear">
      <formula>NOT(ISERROR(SEARCH("Ear",AC14)))</formula>
    </cfRule>
    <cfRule type="containsText" dxfId="492" priority="81" operator="containsText" text="Str">
      <formula>NOT(ISERROR(SEARCH("Str",AC14)))</formula>
    </cfRule>
  </conditionalFormatting>
  <conditionalFormatting sqref="AC23:AC24">
    <cfRule type="containsText" dxfId="491" priority="775" operator="containsText" text="Ear">
      <formula>NOT(ISERROR(SEARCH("Ear",AC23)))</formula>
    </cfRule>
    <cfRule type="containsText" dxfId="490" priority="776" operator="containsText" text="fnd">
      <formula>NOT(ISERROR(SEARCH("fnd",AC23)))</formula>
    </cfRule>
    <cfRule type="containsText" dxfId="489" priority="774" operator="containsText" text="Ere">
      <formula>NOT(ISERROR(SEARCH("Ere",AC23)))</formula>
    </cfRule>
    <cfRule type="containsText" dxfId="488" priority="773" operator="containsText" text="Str">
      <formula>NOT(ISERROR(SEARCH("Str",AC23)))</formula>
    </cfRule>
  </conditionalFormatting>
  <conditionalFormatting sqref="AC32">
    <cfRule type="containsText" dxfId="487" priority="625" operator="containsText" text="Str">
      <formula>NOT(ISERROR(SEARCH("Str",AC32)))</formula>
    </cfRule>
    <cfRule type="containsText" dxfId="486" priority="627" operator="containsText" text="Ear">
      <formula>NOT(ISERROR(SEARCH("Ear",AC32)))</formula>
    </cfRule>
    <cfRule type="containsText" dxfId="485" priority="626" operator="containsText" text="Ere">
      <formula>NOT(ISERROR(SEARCH("Ere",AC32)))</formula>
    </cfRule>
    <cfRule type="containsText" dxfId="484" priority="628" operator="containsText" text="fnd">
      <formula>NOT(ISERROR(SEARCH("fnd",AC32)))</formula>
    </cfRule>
  </conditionalFormatting>
  <conditionalFormatting sqref="AC41">
    <cfRule type="containsText" dxfId="483" priority="149" operator="containsText" text="Str">
      <formula>NOT(ISERROR(SEARCH("Str",AC41)))</formula>
    </cfRule>
    <cfRule type="containsText" dxfId="482" priority="151" operator="containsText" text="Ear">
      <formula>NOT(ISERROR(SEARCH("Ear",AC41)))</formula>
    </cfRule>
    <cfRule type="containsText" dxfId="481" priority="150" operator="containsText" text="Ere">
      <formula>NOT(ISERROR(SEARCH("Ere",AC41)))</formula>
    </cfRule>
    <cfRule type="containsText" dxfId="480" priority="152" operator="containsText" text="fnd">
      <formula>NOT(ISERROR(SEARCH("fnd",AC41)))</formula>
    </cfRule>
  </conditionalFormatting>
  <conditionalFormatting sqref="AC50:AC51 AF50:AG51 K59 H59:H60">
    <cfRule type="containsText" dxfId="479" priority="1301" operator="containsText" text="Str">
      <formula>NOT(ISERROR(SEARCH("Str",H50)))</formula>
    </cfRule>
    <cfRule type="containsText" dxfId="478" priority="1303" operator="containsText" text="Ear">
      <formula>NOT(ISERROR(SEARCH("Ear",H50)))</formula>
    </cfRule>
    <cfRule type="containsText" dxfId="477" priority="1304" operator="containsText" text="fnd">
      <formula>NOT(ISERROR(SEARCH("fnd",H50)))</formula>
    </cfRule>
    <cfRule type="containsText" dxfId="476" priority="1302" operator="containsText" text="Ere">
      <formula>NOT(ISERROR(SEARCH("Ere",H50)))</formula>
    </cfRule>
  </conditionalFormatting>
  <conditionalFormatting sqref="AC59">
    <cfRule type="containsText" dxfId="475" priority="856" operator="containsText" text="fnd">
      <formula>NOT(ISERROR(SEARCH("fnd",AC59)))</formula>
    </cfRule>
    <cfRule type="containsText" dxfId="474" priority="853" operator="containsText" text="Str">
      <formula>NOT(ISERROR(SEARCH("Str",AC59)))</formula>
    </cfRule>
    <cfRule type="containsText" dxfId="473" priority="854" operator="containsText" text="Ere">
      <formula>NOT(ISERROR(SEARCH("Ere",AC59)))</formula>
    </cfRule>
    <cfRule type="containsText" dxfId="472" priority="855" operator="containsText" text="Ear">
      <formula>NOT(ISERROR(SEARCH("Ear",AC59)))</formula>
    </cfRule>
  </conditionalFormatting>
  <conditionalFormatting sqref="AC68">
    <cfRule type="containsText" dxfId="471" priority="1214" operator="containsText" text="Ere">
      <formula>NOT(ISERROR(SEARCH("Ere",AC68)))</formula>
    </cfRule>
    <cfRule type="containsText" dxfId="470" priority="1215" operator="containsText" text="Ear">
      <formula>NOT(ISERROR(SEARCH("Ear",AC68)))</formula>
    </cfRule>
    <cfRule type="containsText" dxfId="469" priority="1213" operator="containsText" text="Str">
      <formula>NOT(ISERROR(SEARCH("Str",AC68)))</formula>
    </cfRule>
    <cfRule type="containsText" dxfId="468" priority="1216" operator="containsText" text="fnd">
      <formula>NOT(ISERROR(SEARCH("fnd",AC68)))</formula>
    </cfRule>
  </conditionalFormatting>
  <conditionalFormatting sqref="AC78">
    <cfRule type="containsText" dxfId="467" priority="1148" operator="containsText" text="fnd">
      <formula>NOT(ISERROR(SEARCH("fnd",AC78)))</formula>
    </cfRule>
    <cfRule type="containsText" dxfId="466" priority="1147" operator="containsText" text="Ear">
      <formula>NOT(ISERROR(SEARCH("Ear",AC78)))</formula>
    </cfRule>
    <cfRule type="containsText" dxfId="465" priority="1146" operator="containsText" text="Ere">
      <formula>NOT(ISERROR(SEARCH("Ere",AC78)))</formula>
    </cfRule>
    <cfRule type="containsText" dxfId="464" priority="1145" operator="containsText" text="Str">
      <formula>NOT(ISERROR(SEARCH("Str",AC78)))</formula>
    </cfRule>
  </conditionalFormatting>
  <conditionalFormatting sqref="AC95:AC96">
    <cfRule type="containsText" dxfId="463" priority="1137" operator="containsText" text="Str">
      <formula>NOT(ISERROR(SEARCH("Str",AC95)))</formula>
    </cfRule>
    <cfRule type="containsText" dxfId="462" priority="1138" operator="containsText" text="Ere">
      <formula>NOT(ISERROR(SEARCH("Ere",AC95)))</formula>
    </cfRule>
    <cfRule type="containsText" dxfId="461" priority="1139" operator="containsText" text="Ear">
      <formula>NOT(ISERROR(SEARCH("Ear",AC95)))</formula>
    </cfRule>
    <cfRule type="containsText" dxfId="460" priority="1140" operator="containsText" text="fnd">
      <formula>NOT(ISERROR(SEARCH("fnd",AC95)))</formula>
    </cfRule>
  </conditionalFormatting>
  <conditionalFormatting sqref="AC104:AC105">
    <cfRule type="containsText" dxfId="459" priority="677" operator="containsText" text="Str">
      <formula>NOT(ISERROR(SEARCH("Str",AC104)))</formula>
    </cfRule>
    <cfRule type="containsText" dxfId="458" priority="680" operator="containsText" text="fnd">
      <formula>NOT(ISERROR(SEARCH("fnd",AC104)))</formula>
    </cfRule>
    <cfRule type="containsText" dxfId="457" priority="679" operator="containsText" text="Ear">
      <formula>NOT(ISERROR(SEARCH("Ear",AC104)))</formula>
    </cfRule>
    <cfRule type="containsText" dxfId="456" priority="678" operator="containsText" text="Ere">
      <formula>NOT(ISERROR(SEARCH("Ere",AC104)))</formula>
    </cfRule>
  </conditionalFormatting>
  <conditionalFormatting sqref="AC113">
    <cfRule type="containsText" dxfId="455" priority="104" operator="containsText" text="fnd">
      <formula>NOT(ISERROR(SEARCH("fnd",AC113)))</formula>
    </cfRule>
    <cfRule type="containsText" dxfId="454" priority="103" operator="containsText" text="Ear">
      <formula>NOT(ISERROR(SEARCH("Ear",AC113)))</formula>
    </cfRule>
    <cfRule type="containsText" dxfId="453" priority="102" operator="containsText" text="Ere">
      <formula>NOT(ISERROR(SEARCH("Ere",AC113)))</formula>
    </cfRule>
    <cfRule type="containsText" dxfId="452" priority="101" operator="containsText" text="Str">
      <formula>NOT(ISERROR(SEARCH("Str",AC113)))</formula>
    </cfRule>
  </conditionalFormatting>
  <conditionalFormatting sqref="AC122">
    <cfRule type="containsText" dxfId="451" priority="532" operator="containsText" text="fnd">
      <formula>NOT(ISERROR(SEARCH("fnd",AC122)))</formula>
    </cfRule>
    <cfRule type="containsText" dxfId="450" priority="529" operator="containsText" text="Str">
      <formula>NOT(ISERROR(SEARCH("Str",AC122)))</formula>
    </cfRule>
    <cfRule type="containsText" dxfId="449" priority="531" operator="containsText" text="Ear">
      <formula>NOT(ISERROR(SEARCH("Ear",AC122)))</formula>
    </cfRule>
    <cfRule type="containsText" dxfId="448" priority="530" operator="containsText" text="Ere">
      <formula>NOT(ISERROR(SEARCH("Ere",AC122)))</formula>
    </cfRule>
  </conditionalFormatting>
  <conditionalFormatting sqref="AC132:AC135">
    <cfRule type="containsText" dxfId="447" priority="913" operator="containsText" text="Str">
      <formula>NOT(ISERROR(SEARCH("Str",AC132)))</formula>
    </cfRule>
    <cfRule type="containsText" dxfId="446" priority="914" operator="containsText" text="Ere">
      <formula>NOT(ISERROR(SEARCH("Ere",AC132)))</formula>
    </cfRule>
    <cfRule type="containsText" dxfId="445" priority="916" operator="containsText" text="fnd">
      <formula>NOT(ISERROR(SEARCH("fnd",AC132)))</formula>
    </cfRule>
    <cfRule type="containsText" dxfId="444" priority="915" operator="containsText" text="Ear">
      <formula>NOT(ISERROR(SEARCH("Ear",AC132)))</formula>
    </cfRule>
  </conditionalFormatting>
  <conditionalFormatting sqref="AC33:AD33">
    <cfRule type="containsText" dxfId="443" priority="629" operator="containsText" text="Str">
      <formula>NOT(ISERROR(SEARCH("Str",AC33)))</formula>
    </cfRule>
    <cfRule type="containsText" dxfId="442" priority="630" operator="containsText" text="Ere">
      <formula>NOT(ISERROR(SEARCH("Ere",AC33)))</formula>
    </cfRule>
    <cfRule type="containsText" dxfId="441" priority="631" operator="containsText" text="Ear">
      <formula>NOT(ISERROR(SEARCH("Ear",AC33)))</formula>
    </cfRule>
    <cfRule type="containsText" dxfId="440" priority="632" operator="containsText" text="fnd">
      <formula>NOT(ISERROR(SEARCH("fnd",AC33)))</formula>
    </cfRule>
  </conditionalFormatting>
  <conditionalFormatting sqref="AC42:AD42">
    <cfRule type="containsText" dxfId="439" priority="155" operator="containsText" text="Ear">
      <formula>NOT(ISERROR(SEARCH("Ear",AC42)))</formula>
    </cfRule>
    <cfRule type="containsText" dxfId="438" priority="153" operator="containsText" text="Str">
      <formula>NOT(ISERROR(SEARCH("Str",AC42)))</formula>
    </cfRule>
    <cfRule type="containsText" dxfId="437" priority="154" operator="containsText" text="Ere">
      <formula>NOT(ISERROR(SEARCH("Ere",AC42)))</formula>
    </cfRule>
    <cfRule type="containsText" dxfId="436" priority="156" operator="containsText" text="fnd">
      <formula>NOT(ISERROR(SEARCH("fnd",AC42)))</formula>
    </cfRule>
  </conditionalFormatting>
  <conditionalFormatting sqref="AC60:AD60">
    <cfRule type="containsText" dxfId="435" priority="858" operator="containsText" text="Ere">
      <formula>NOT(ISERROR(SEARCH("Ere",AC60)))</formula>
    </cfRule>
    <cfRule type="containsText" dxfId="434" priority="859" operator="containsText" text="Ear">
      <formula>NOT(ISERROR(SEARCH("Ear",AC60)))</formula>
    </cfRule>
    <cfRule type="containsText" dxfId="433" priority="860" operator="containsText" text="fnd">
      <formula>NOT(ISERROR(SEARCH("fnd",AC60)))</formula>
    </cfRule>
    <cfRule type="containsText" dxfId="432" priority="857" operator="containsText" text="Str">
      <formula>NOT(ISERROR(SEARCH("Str",AC60)))</formula>
    </cfRule>
  </conditionalFormatting>
  <conditionalFormatting sqref="AC114:AD114">
    <cfRule type="containsText" dxfId="431" priority="105" operator="containsText" text="Str">
      <formula>NOT(ISERROR(SEARCH("Str",AC114)))</formula>
    </cfRule>
    <cfRule type="containsText" dxfId="430" priority="106" operator="containsText" text="Ere">
      <formula>NOT(ISERROR(SEARCH("Ere",AC114)))</formula>
    </cfRule>
    <cfRule type="containsText" dxfId="429" priority="107" operator="containsText" text="Ear">
      <formula>NOT(ISERROR(SEARCH("Ear",AC114)))</formula>
    </cfRule>
    <cfRule type="containsText" dxfId="428" priority="108" operator="containsText" text="fnd">
      <formula>NOT(ISERROR(SEARCH("fnd",AC114)))</formula>
    </cfRule>
  </conditionalFormatting>
  <conditionalFormatting sqref="AC123:AD123">
    <cfRule type="containsText" dxfId="427" priority="534" operator="containsText" text="Ere">
      <formula>NOT(ISERROR(SEARCH("Ere",AC123)))</formula>
    </cfRule>
    <cfRule type="containsText" dxfId="426" priority="535" operator="containsText" text="Ear">
      <formula>NOT(ISERROR(SEARCH("Ear",AC123)))</formula>
    </cfRule>
    <cfRule type="containsText" dxfId="425" priority="536" operator="containsText" text="fnd">
      <formula>NOT(ISERROR(SEARCH("fnd",AC123)))</formula>
    </cfRule>
    <cfRule type="containsText" dxfId="424" priority="533" operator="containsText" text="Str">
      <formula>NOT(ISERROR(SEARCH("Str",AC123)))</formula>
    </cfRule>
  </conditionalFormatting>
  <conditionalFormatting sqref="AD6">
    <cfRule type="containsText" dxfId="423" priority="970" operator="containsText" text="Ere">
      <formula>NOT(ISERROR(SEARCH("Ere",AD6)))</formula>
    </cfRule>
    <cfRule type="containsText" dxfId="422" priority="969" operator="containsText" text="Str">
      <formula>NOT(ISERROR(SEARCH("Str",AD6)))</formula>
    </cfRule>
    <cfRule type="containsText" dxfId="421" priority="972" operator="containsText" text="fnd">
      <formula>NOT(ISERROR(SEARCH("fnd",AD6)))</formula>
    </cfRule>
    <cfRule type="containsText" dxfId="420" priority="971" operator="containsText" text="Ear">
      <formula>NOT(ISERROR(SEARCH("Ear",AD6)))</formula>
    </cfRule>
  </conditionalFormatting>
  <conditionalFormatting sqref="AD15">
    <cfRule type="containsText" dxfId="419" priority="78" operator="containsText" text="Ere">
      <formula>NOT(ISERROR(SEARCH("Ere",AD15)))</formula>
    </cfRule>
    <cfRule type="containsText" dxfId="418" priority="77" operator="containsText" text="Str">
      <formula>NOT(ISERROR(SEARCH("Str",AD15)))</formula>
    </cfRule>
    <cfRule type="containsText" dxfId="417" priority="80" operator="containsText" text="fnd">
      <formula>NOT(ISERROR(SEARCH("fnd",AD15)))</formula>
    </cfRule>
    <cfRule type="containsText" dxfId="416" priority="79" operator="containsText" text="Ear">
      <formula>NOT(ISERROR(SEARCH("Ear",AD15)))</formula>
    </cfRule>
  </conditionalFormatting>
  <conditionalFormatting sqref="AD24">
    <cfRule type="containsText" dxfId="415" priority="766" operator="containsText" text="Ere">
      <formula>NOT(ISERROR(SEARCH("Ere",AD24)))</formula>
    </cfRule>
    <cfRule type="containsText" dxfId="414" priority="767" operator="containsText" text="Ear">
      <formula>NOT(ISERROR(SEARCH("Ear",AD24)))</formula>
    </cfRule>
    <cfRule type="containsText" dxfId="413" priority="765" operator="containsText" text="Str">
      <formula>NOT(ISERROR(SEARCH("Str",AD24)))</formula>
    </cfRule>
    <cfRule type="containsText" dxfId="412" priority="768" operator="containsText" text="fnd">
      <formula>NOT(ISERROR(SEARCH("fnd",AD24)))</formula>
    </cfRule>
  </conditionalFormatting>
  <conditionalFormatting sqref="AD51">
    <cfRule type="containsText" dxfId="411" priority="1356" operator="containsText" text="fnd">
      <formula>NOT(ISERROR(SEARCH("fnd",AD51)))</formula>
    </cfRule>
    <cfRule type="containsText" dxfId="410" priority="1355" operator="containsText" text="Ear">
      <formula>NOT(ISERROR(SEARCH("Ear",AD51)))</formula>
    </cfRule>
    <cfRule type="containsText" dxfId="409" priority="1353" operator="containsText" text="Str">
      <formula>NOT(ISERROR(SEARCH("Str",AD51)))</formula>
    </cfRule>
    <cfRule type="containsText" dxfId="408" priority="1354" operator="containsText" text="Ere">
      <formula>NOT(ISERROR(SEARCH("Ere",AD51)))</formula>
    </cfRule>
  </conditionalFormatting>
  <conditionalFormatting sqref="AD87 AG87 AJ87 AM87">
    <cfRule type="containsText" dxfId="407" priority="1292" operator="containsText" text="fnd">
      <formula>NOT(ISERROR(SEARCH("fnd",AD87)))</formula>
    </cfRule>
    <cfRule type="containsText" dxfId="406" priority="1290" operator="containsText" text="Ere">
      <formula>NOT(ISERROR(SEARCH("Ere",AD87)))</formula>
    </cfRule>
    <cfRule type="containsText" dxfId="405" priority="1289" operator="containsText" text="Str">
      <formula>NOT(ISERROR(SEARCH("Str",AD87)))</formula>
    </cfRule>
    <cfRule type="containsText" dxfId="404" priority="1291" operator="containsText" text="Ear">
      <formula>NOT(ISERROR(SEARCH("Ear",AD87)))</formula>
    </cfRule>
  </conditionalFormatting>
  <conditionalFormatting sqref="AD105">
    <cfRule type="containsText" dxfId="403" priority="683" operator="containsText" text="Ear">
      <formula>NOT(ISERROR(SEARCH("Ear",AD105)))</formula>
    </cfRule>
    <cfRule type="containsText" dxfId="402" priority="682" operator="containsText" text="Ere">
      <formula>NOT(ISERROR(SEARCH("Ere",AD105)))</formula>
    </cfRule>
    <cfRule type="containsText" dxfId="401" priority="684" operator="containsText" text="fnd">
      <formula>NOT(ISERROR(SEARCH("fnd",AD105)))</formula>
    </cfRule>
    <cfRule type="containsText" dxfId="400" priority="681" operator="containsText" text="Str">
      <formula>NOT(ISERROR(SEARCH("Str",AD105)))</formula>
    </cfRule>
  </conditionalFormatting>
  <conditionalFormatting sqref="AF5:AF6">
    <cfRule type="containsText" dxfId="399" priority="256" operator="containsText" text="fnd">
      <formula>NOT(ISERROR(SEARCH("fnd",AF5)))</formula>
    </cfRule>
    <cfRule type="containsText" dxfId="398" priority="255" operator="containsText" text="Ear">
      <formula>NOT(ISERROR(SEARCH("Ear",AF5)))</formula>
    </cfRule>
    <cfRule type="containsText" dxfId="397" priority="253" operator="containsText" text="Str">
      <formula>NOT(ISERROR(SEARCH("Str",AF5)))</formula>
    </cfRule>
    <cfRule type="containsText" dxfId="396" priority="254" operator="containsText" text="Ere">
      <formula>NOT(ISERROR(SEARCH("Ere",AF5)))</formula>
    </cfRule>
  </conditionalFormatting>
  <conditionalFormatting sqref="AF14:AF15">
    <cfRule type="containsText" dxfId="395" priority="1121" operator="containsText" text="Str">
      <formula>NOT(ISERROR(SEARCH("Str",AF14)))</formula>
    </cfRule>
    <cfRule type="containsText" dxfId="394" priority="1124" operator="containsText" text="fnd">
      <formula>NOT(ISERROR(SEARCH("fnd",AF14)))</formula>
    </cfRule>
    <cfRule type="containsText" dxfId="393" priority="1122" operator="containsText" text="Ere">
      <formula>NOT(ISERROR(SEARCH("Ere",AF14)))</formula>
    </cfRule>
    <cfRule type="containsText" dxfId="392" priority="1123" operator="containsText" text="Ear">
      <formula>NOT(ISERROR(SEARCH("Ear",AF14)))</formula>
    </cfRule>
  </conditionalFormatting>
  <conditionalFormatting sqref="AF23:AF24">
    <cfRule type="containsText" dxfId="391" priority="607" operator="containsText" text="Ear">
      <formula>NOT(ISERROR(SEARCH("Ear",AF23)))</formula>
    </cfRule>
    <cfRule type="containsText" dxfId="390" priority="605" operator="containsText" text="Str">
      <formula>NOT(ISERROR(SEARCH("Str",AF23)))</formula>
    </cfRule>
    <cfRule type="containsText" dxfId="389" priority="608" operator="containsText" text="fnd">
      <formula>NOT(ISERROR(SEARCH("fnd",AF23)))</formula>
    </cfRule>
    <cfRule type="containsText" dxfId="388" priority="606" operator="containsText" text="Ere">
      <formula>NOT(ISERROR(SEARCH("Ere",AF23)))</formula>
    </cfRule>
  </conditionalFormatting>
  <conditionalFormatting sqref="AF32">
    <cfRule type="containsText" dxfId="387" priority="126" operator="containsText" text="Ere">
      <formula>NOT(ISERROR(SEARCH("Ere",AF32)))</formula>
    </cfRule>
    <cfRule type="containsText" dxfId="386" priority="127" operator="containsText" text="Ear">
      <formula>NOT(ISERROR(SEARCH("Ear",AF32)))</formula>
    </cfRule>
    <cfRule type="containsText" dxfId="385" priority="125" operator="containsText" text="Str">
      <formula>NOT(ISERROR(SEARCH("Str",AF32)))</formula>
    </cfRule>
    <cfRule type="containsText" dxfId="384" priority="128" operator="containsText" text="fnd">
      <formula>NOT(ISERROR(SEARCH("fnd",AF32)))</formula>
    </cfRule>
  </conditionalFormatting>
  <conditionalFormatting sqref="AF41">
    <cfRule type="containsText" dxfId="383" priority="1234" operator="containsText" text="Ere">
      <formula>NOT(ISERROR(SEARCH("Ere",AF41)))</formula>
    </cfRule>
    <cfRule type="containsText" dxfId="382" priority="1233" operator="containsText" text="Str">
      <formula>NOT(ISERROR(SEARCH("Str",AF41)))</formula>
    </cfRule>
    <cfRule type="containsText" dxfId="381" priority="1235" operator="containsText" text="Ear">
      <formula>NOT(ISERROR(SEARCH("Ear",AF41)))</formula>
    </cfRule>
    <cfRule type="containsText" dxfId="380" priority="1236" operator="containsText" text="fnd">
      <formula>NOT(ISERROR(SEARCH("fnd",AF41)))</formula>
    </cfRule>
  </conditionalFormatting>
  <conditionalFormatting sqref="AF59">
    <cfRule type="containsText" dxfId="379" priority="1090" operator="containsText" text="Ere">
      <formula>NOT(ISERROR(SEARCH("Ere",AF59)))</formula>
    </cfRule>
    <cfRule type="containsText" dxfId="378" priority="1091" operator="containsText" text="Ear">
      <formula>NOT(ISERROR(SEARCH("Ear",AF59)))</formula>
    </cfRule>
    <cfRule type="containsText" dxfId="377" priority="1092" operator="containsText" text="fnd">
      <formula>NOT(ISERROR(SEARCH("fnd",AF59)))</formula>
    </cfRule>
    <cfRule type="containsText" dxfId="376" priority="1089" operator="containsText" text="Str">
      <formula>NOT(ISERROR(SEARCH("Str",AF59)))</formula>
    </cfRule>
  </conditionalFormatting>
  <conditionalFormatting sqref="AF68">
    <cfRule type="containsText" dxfId="375" priority="751" operator="containsText" text="Ear">
      <formula>NOT(ISERROR(SEARCH("Ear",AF68)))</formula>
    </cfRule>
    <cfRule type="containsText" dxfId="374" priority="752" operator="containsText" text="fnd">
      <formula>NOT(ISERROR(SEARCH("fnd",AF68)))</formula>
    </cfRule>
    <cfRule type="containsText" dxfId="373" priority="750" operator="containsText" text="Ere">
      <formula>NOT(ISERROR(SEARCH("Ere",AF68)))</formula>
    </cfRule>
    <cfRule type="containsText" dxfId="372" priority="749" operator="containsText" text="Str">
      <formula>NOT(ISERROR(SEARCH("Str",AF68)))</formula>
    </cfRule>
  </conditionalFormatting>
  <conditionalFormatting sqref="AF77">
    <cfRule type="containsText" dxfId="371" priority="1125" operator="containsText" text="Str">
      <formula>NOT(ISERROR(SEARCH("Str",AF77)))</formula>
    </cfRule>
    <cfRule type="containsText" dxfId="370" priority="1128" operator="containsText" text="fnd">
      <formula>NOT(ISERROR(SEARCH("fnd",AF77)))</formula>
    </cfRule>
    <cfRule type="containsText" dxfId="369" priority="1127" operator="containsText" text="Ear">
      <formula>NOT(ISERROR(SEARCH("Ear",AF77)))</formula>
    </cfRule>
    <cfRule type="containsText" dxfId="368" priority="1126" operator="containsText" text="Ere">
      <formula>NOT(ISERROR(SEARCH("Ere",AF77)))</formula>
    </cfRule>
  </conditionalFormatting>
  <conditionalFormatting sqref="AF95 AI95 AL95">
    <cfRule type="containsText" dxfId="367" priority="1248" operator="containsText" text="fnd">
      <formula>NOT(ISERROR(SEARCH("fnd",AF95)))</formula>
    </cfRule>
    <cfRule type="containsText" dxfId="366" priority="1247" operator="containsText" text="Ear">
      <formula>NOT(ISERROR(SEARCH("Ear",AF95)))</formula>
    </cfRule>
    <cfRule type="containsText" dxfId="365" priority="1246" operator="containsText" text="Ere">
      <formula>NOT(ISERROR(SEARCH("Ere",AF95)))</formula>
    </cfRule>
    <cfRule type="containsText" dxfId="364" priority="1245" operator="containsText" text="Str">
      <formula>NOT(ISERROR(SEARCH("Str",AF95)))</formula>
    </cfRule>
  </conditionalFormatting>
  <conditionalFormatting sqref="AF104:AF105">
    <cfRule type="containsText" dxfId="363" priority="1220" operator="containsText" text="fnd">
      <formula>NOT(ISERROR(SEARCH("fnd",AF104)))</formula>
    </cfRule>
    <cfRule type="containsText" dxfId="362" priority="1219" operator="containsText" text="Ear">
      <formula>NOT(ISERROR(SEARCH("Ear",AF104)))</formula>
    </cfRule>
    <cfRule type="containsText" dxfId="361" priority="1218" operator="containsText" text="Ere">
      <formula>NOT(ISERROR(SEARCH("Ere",AF104)))</formula>
    </cfRule>
    <cfRule type="containsText" dxfId="360" priority="1217" operator="containsText" text="Str">
      <formula>NOT(ISERROR(SEARCH("Str",AF104)))</formula>
    </cfRule>
  </conditionalFormatting>
  <conditionalFormatting sqref="AF113">
    <cfRule type="containsText" dxfId="359" priority="1188" operator="containsText" text="fnd">
      <formula>NOT(ISERROR(SEARCH("fnd",AF113)))</formula>
    </cfRule>
    <cfRule type="containsText" dxfId="358" priority="1187" operator="containsText" text="Ear">
      <formula>NOT(ISERROR(SEARCH("Ear",AF113)))</formula>
    </cfRule>
    <cfRule type="containsText" dxfId="357" priority="1186" operator="containsText" text="Ere">
      <formula>NOT(ISERROR(SEARCH("Ere",AF113)))</formula>
    </cfRule>
    <cfRule type="containsText" dxfId="356" priority="1185" operator="containsText" text="Str">
      <formula>NOT(ISERROR(SEARCH("Str",AF113)))</formula>
    </cfRule>
  </conditionalFormatting>
  <conditionalFormatting sqref="AF122">
    <cfRule type="containsText" dxfId="355" priority="480" operator="containsText" text="fnd">
      <formula>NOT(ISERROR(SEARCH("fnd",AF122)))</formula>
    </cfRule>
    <cfRule type="containsText" dxfId="354" priority="478" operator="containsText" text="Ere">
      <formula>NOT(ISERROR(SEARCH("Ere",AF122)))</formula>
    </cfRule>
    <cfRule type="containsText" dxfId="353" priority="477" operator="containsText" text="Str">
      <formula>NOT(ISERROR(SEARCH("Str",AF122)))</formula>
    </cfRule>
    <cfRule type="containsText" dxfId="352" priority="479" operator="containsText" text="Ear">
      <formula>NOT(ISERROR(SEARCH("Ear",AF122)))</formula>
    </cfRule>
  </conditionalFormatting>
  <conditionalFormatting sqref="AF132:AF135">
    <cfRule type="containsText" dxfId="351" priority="910" operator="containsText" text="Ere">
      <formula>NOT(ISERROR(SEARCH("Ere",AF132)))</formula>
    </cfRule>
    <cfRule type="containsText" dxfId="350" priority="909" operator="containsText" text="Str">
      <formula>NOT(ISERROR(SEARCH("Str",AF132)))</formula>
    </cfRule>
    <cfRule type="containsText" dxfId="349" priority="911" operator="containsText" text="Ear">
      <formula>NOT(ISERROR(SEARCH("Ear",AF132)))</formula>
    </cfRule>
    <cfRule type="containsText" dxfId="348" priority="912" operator="containsText" text="fnd">
      <formula>NOT(ISERROR(SEARCH("fnd",AF132)))</formula>
    </cfRule>
  </conditionalFormatting>
  <conditionalFormatting sqref="AF33:AG33">
    <cfRule type="containsText" dxfId="347" priority="130" operator="containsText" text="Ere">
      <formula>NOT(ISERROR(SEARCH("Ere",AF33)))</formula>
    </cfRule>
    <cfRule type="containsText" dxfId="346" priority="131" operator="containsText" text="Ear">
      <formula>NOT(ISERROR(SEARCH("Ear",AF33)))</formula>
    </cfRule>
    <cfRule type="containsText" dxfId="345" priority="132" operator="containsText" text="fnd">
      <formula>NOT(ISERROR(SEARCH("fnd",AF33)))</formula>
    </cfRule>
    <cfRule type="containsText" dxfId="344" priority="129" operator="containsText" text="Str">
      <formula>NOT(ISERROR(SEARCH("Str",AF33)))</formula>
    </cfRule>
  </conditionalFormatting>
  <conditionalFormatting sqref="AF42:AG42">
    <cfRule type="containsText" dxfId="343" priority="1365" operator="containsText" text="Str">
      <formula>NOT(ISERROR(SEARCH("Str",AF42)))</formula>
    </cfRule>
    <cfRule type="containsText" dxfId="342" priority="1368" operator="containsText" text="fnd">
      <formula>NOT(ISERROR(SEARCH("fnd",AF42)))</formula>
    </cfRule>
    <cfRule type="containsText" dxfId="341" priority="1367" operator="containsText" text="Ear">
      <formula>NOT(ISERROR(SEARCH("Ear",AF42)))</formula>
    </cfRule>
    <cfRule type="containsText" dxfId="340" priority="1366" operator="containsText" text="Ere">
      <formula>NOT(ISERROR(SEARCH("Ere",AF42)))</formula>
    </cfRule>
  </conditionalFormatting>
  <conditionalFormatting sqref="AF60:AG60">
    <cfRule type="containsText" dxfId="339" priority="1117" operator="containsText" text="Str">
      <formula>NOT(ISERROR(SEARCH("Str",AF60)))</formula>
    </cfRule>
    <cfRule type="containsText" dxfId="338" priority="1118" operator="containsText" text="Ere">
      <formula>NOT(ISERROR(SEARCH("Ere",AF60)))</formula>
    </cfRule>
    <cfRule type="containsText" dxfId="337" priority="1119" operator="containsText" text="Ear">
      <formula>NOT(ISERROR(SEARCH("Ear",AF60)))</formula>
    </cfRule>
    <cfRule type="containsText" dxfId="336" priority="1120" operator="containsText" text="fnd">
      <formula>NOT(ISERROR(SEARCH("fnd",AF60)))</formula>
    </cfRule>
  </conditionalFormatting>
  <conditionalFormatting sqref="AF69:AG69">
    <cfRule type="containsText" dxfId="335" priority="753" operator="containsText" text="Str">
      <formula>NOT(ISERROR(SEARCH("Str",AF69)))</formula>
    </cfRule>
    <cfRule type="containsText" dxfId="334" priority="754" operator="containsText" text="Ere">
      <formula>NOT(ISERROR(SEARCH("Ere",AF69)))</formula>
    </cfRule>
    <cfRule type="containsText" dxfId="333" priority="755" operator="containsText" text="Ear">
      <formula>NOT(ISERROR(SEARCH("Ear",AF69)))</formula>
    </cfRule>
    <cfRule type="containsText" dxfId="332" priority="756" operator="containsText" text="fnd">
      <formula>NOT(ISERROR(SEARCH("fnd",AF69)))</formula>
    </cfRule>
  </conditionalFormatting>
  <conditionalFormatting sqref="AF78:AG78">
    <cfRule type="containsText" dxfId="331" priority="1156" operator="containsText" text="fnd">
      <formula>NOT(ISERROR(SEARCH("fnd",AF78)))</formula>
    </cfRule>
    <cfRule type="containsText" dxfId="330" priority="1155" operator="containsText" text="Ear">
      <formula>NOT(ISERROR(SEARCH("Ear",AF78)))</formula>
    </cfRule>
    <cfRule type="containsText" dxfId="329" priority="1154" operator="containsText" text="Ere">
      <formula>NOT(ISERROR(SEARCH("Ere",AF78)))</formula>
    </cfRule>
    <cfRule type="containsText" dxfId="328" priority="1153" operator="containsText" text="Str">
      <formula>NOT(ISERROR(SEARCH("Str",AF78)))</formula>
    </cfRule>
  </conditionalFormatting>
  <conditionalFormatting sqref="AF96:AG96">
    <cfRule type="containsText" dxfId="327" priority="1276" operator="containsText" text="fnd">
      <formula>NOT(ISERROR(SEARCH("fnd",AF96)))</formula>
    </cfRule>
    <cfRule type="containsText" dxfId="326" priority="1275" operator="containsText" text="Ear">
      <formula>NOT(ISERROR(SEARCH("Ear",AF96)))</formula>
    </cfRule>
    <cfRule type="containsText" dxfId="325" priority="1274" operator="containsText" text="Ere">
      <formula>NOT(ISERROR(SEARCH("Ere",AF96)))</formula>
    </cfRule>
    <cfRule type="containsText" dxfId="324" priority="1273" operator="containsText" text="Str">
      <formula>NOT(ISERROR(SEARCH("Str",AF96)))</formula>
    </cfRule>
  </conditionalFormatting>
  <conditionalFormatting sqref="AF114:AG114 AI114:AJ114">
    <cfRule type="containsText" dxfId="323" priority="1268" operator="containsText" text="fnd">
      <formula>NOT(ISERROR(SEARCH("fnd",AF114)))</formula>
    </cfRule>
    <cfRule type="containsText" dxfId="322" priority="1266" operator="containsText" text="Ere">
      <formula>NOT(ISERROR(SEARCH("Ere",AF114)))</formula>
    </cfRule>
    <cfRule type="containsText" dxfId="321" priority="1265" operator="containsText" text="Str">
      <formula>NOT(ISERROR(SEARCH("Str",AF114)))</formula>
    </cfRule>
    <cfRule type="containsText" dxfId="320" priority="1267" operator="containsText" text="Ear">
      <formula>NOT(ISERROR(SEARCH("Ear",AF114)))</formula>
    </cfRule>
  </conditionalFormatting>
  <conditionalFormatting sqref="AF123:AG123">
    <cfRule type="containsText" dxfId="319" priority="481" operator="containsText" text="Str">
      <formula>NOT(ISERROR(SEARCH("Str",AF123)))</formula>
    </cfRule>
    <cfRule type="containsText" dxfId="318" priority="484" operator="containsText" text="fnd">
      <formula>NOT(ISERROR(SEARCH("fnd",AF123)))</formula>
    </cfRule>
    <cfRule type="containsText" dxfId="317" priority="483" operator="containsText" text="Ear">
      <formula>NOT(ISERROR(SEARCH("Ear",AF123)))</formula>
    </cfRule>
    <cfRule type="containsText" dxfId="316" priority="482" operator="containsText" text="Ere">
      <formula>NOT(ISERROR(SEARCH("Ere",AF123)))</formula>
    </cfRule>
  </conditionalFormatting>
  <conditionalFormatting sqref="AG6">
    <cfRule type="containsText" dxfId="315" priority="250" operator="containsText" text="Ere">
      <formula>NOT(ISERROR(SEARCH("Ere",AG6)))</formula>
    </cfRule>
    <cfRule type="containsText" dxfId="314" priority="249" operator="containsText" text="Str">
      <formula>NOT(ISERROR(SEARCH("Str",AG6)))</formula>
    </cfRule>
    <cfRule type="containsText" dxfId="313" priority="251" operator="containsText" text="Ear">
      <formula>NOT(ISERROR(SEARCH("Ear",AG6)))</formula>
    </cfRule>
    <cfRule type="containsText" dxfId="312" priority="252" operator="containsText" text="fnd">
      <formula>NOT(ISERROR(SEARCH("fnd",AG6)))</formula>
    </cfRule>
  </conditionalFormatting>
  <conditionalFormatting sqref="AG24">
    <cfRule type="containsText" dxfId="311" priority="601" operator="containsText" text="Str">
      <formula>NOT(ISERROR(SEARCH("Str",AG24)))</formula>
    </cfRule>
    <cfRule type="containsText" dxfId="310" priority="604" operator="containsText" text="fnd">
      <formula>NOT(ISERROR(SEARCH("fnd",AG24)))</formula>
    </cfRule>
    <cfRule type="containsText" dxfId="309" priority="602" operator="containsText" text="Ere">
      <formula>NOT(ISERROR(SEARCH("Ere",AG24)))</formula>
    </cfRule>
    <cfRule type="containsText" dxfId="308" priority="603" operator="containsText" text="Ear">
      <formula>NOT(ISERROR(SEARCH("Ear",AG24)))</formula>
    </cfRule>
  </conditionalFormatting>
  <conditionalFormatting sqref="AI5:AI6">
    <cfRule type="containsText" dxfId="307" priority="412" operator="containsText" text="fnd">
      <formula>NOT(ISERROR(SEARCH("fnd",AI5)))</formula>
    </cfRule>
    <cfRule type="containsText" dxfId="306" priority="411" operator="containsText" text="Ear">
      <formula>NOT(ISERROR(SEARCH("Ear",AI5)))</formula>
    </cfRule>
    <cfRule type="containsText" dxfId="305" priority="409" operator="containsText" text="Str">
      <formula>NOT(ISERROR(SEARCH("Str",AI5)))</formula>
    </cfRule>
    <cfRule type="containsText" dxfId="304" priority="410" operator="containsText" text="Ere">
      <formula>NOT(ISERROR(SEARCH("Ere",AI5)))</formula>
    </cfRule>
  </conditionalFormatting>
  <conditionalFormatting sqref="AI14:AI15">
    <cfRule type="containsText" dxfId="303" priority="396" operator="containsText" text="fnd">
      <formula>NOT(ISERROR(SEARCH("fnd",AI14)))</formula>
    </cfRule>
    <cfRule type="containsText" dxfId="302" priority="393" operator="containsText" text="Str">
      <formula>NOT(ISERROR(SEARCH("Str",AI14)))</formula>
    </cfRule>
    <cfRule type="containsText" dxfId="301" priority="395" operator="containsText" text="Ear">
      <formula>NOT(ISERROR(SEARCH("Ear",AI14)))</formula>
    </cfRule>
    <cfRule type="containsText" dxfId="300" priority="394" operator="containsText" text="Ere">
      <formula>NOT(ISERROR(SEARCH("Ere",AI14)))</formula>
    </cfRule>
  </conditionalFormatting>
  <conditionalFormatting sqref="AI23:AI24">
    <cfRule type="containsText" dxfId="299" priority="67" operator="containsText" text="Ear">
      <formula>NOT(ISERROR(SEARCH("Ear",AI23)))</formula>
    </cfRule>
    <cfRule type="containsText" dxfId="298" priority="66" operator="containsText" text="Ere">
      <formula>NOT(ISERROR(SEARCH("Ere",AI23)))</formula>
    </cfRule>
    <cfRule type="containsText" dxfId="297" priority="65" operator="containsText" text="Str">
      <formula>NOT(ISERROR(SEARCH("Str",AI23)))</formula>
    </cfRule>
    <cfRule type="containsText" dxfId="296" priority="68" operator="containsText" text="fnd">
      <formula>NOT(ISERROR(SEARCH("fnd",AI23)))</formula>
    </cfRule>
  </conditionalFormatting>
  <conditionalFormatting sqref="AI32">
    <cfRule type="containsText" dxfId="295" priority="485" operator="containsText" text="Str">
      <formula>NOT(ISERROR(SEARCH("Str",AI32)))</formula>
    </cfRule>
    <cfRule type="containsText" dxfId="294" priority="488" operator="containsText" text="fnd">
      <formula>NOT(ISERROR(SEARCH("fnd",AI32)))</formula>
    </cfRule>
    <cfRule type="containsText" dxfId="293" priority="487" operator="containsText" text="Ear">
      <formula>NOT(ISERROR(SEARCH("Ear",AI32)))</formula>
    </cfRule>
    <cfRule type="containsText" dxfId="292" priority="486" operator="containsText" text="Ere">
      <formula>NOT(ISERROR(SEARCH("Ere",AI32)))</formula>
    </cfRule>
  </conditionalFormatting>
  <conditionalFormatting sqref="AI41:AI42">
    <cfRule type="containsText" dxfId="291" priority="1035" operator="containsText" text="Ear">
      <formula>NOT(ISERROR(SEARCH("Ear",AI41)))</formula>
    </cfRule>
    <cfRule type="containsText" dxfId="290" priority="1034" operator="containsText" text="Ere">
      <formula>NOT(ISERROR(SEARCH("Ere",AI41)))</formula>
    </cfRule>
    <cfRule type="containsText" dxfId="289" priority="1033" operator="containsText" text="Str">
      <formula>NOT(ISERROR(SEARCH("Str",AI41)))</formula>
    </cfRule>
    <cfRule type="containsText" dxfId="288" priority="1036" operator="containsText" text="fnd">
      <formula>NOT(ISERROR(SEARCH("fnd",AI41)))</formula>
    </cfRule>
  </conditionalFormatting>
  <conditionalFormatting sqref="AI59:AI60">
    <cfRule type="containsText" dxfId="287" priority="1130" operator="containsText" text="Ere">
      <formula>NOT(ISERROR(SEARCH("Ere",AI59)))</formula>
    </cfRule>
    <cfRule type="containsText" dxfId="286" priority="1129" operator="containsText" text="Str">
      <formula>NOT(ISERROR(SEARCH("Str",AI59)))</formula>
    </cfRule>
    <cfRule type="containsText" dxfId="285" priority="1131" operator="containsText" text="Ear">
      <formula>NOT(ISERROR(SEARCH("Ear",AI59)))</formula>
    </cfRule>
    <cfRule type="containsText" dxfId="284" priority="1132" operator="containsText" text="fnd">
      <formula>NOT(ISERROR(SEARCH("fnd",AI59)))</formula>
    </cfRule>
  </conditionalFormatting>
  <conditionalFormatting sqref="AI68">
    <cfRule type="containsText" dxfId="283" priority="866" operator="containsText" text="Ere">
      <formula>NOT(ISERROR(SEARCH("Ere",AI68)))</formula>
    </cfRule>
    <cfRule type="containsText" dxfId="282" priority="867" operator="containsText" text="Ear">
      <formula>NOT(ISERROR(SEARCH("Ear",AI68)))</formula>
    </cfRule>
    <cfRule type="containsText" dxfId="281" priority="868" operator="containsText" text="fnd">
      <formula>NOT(ISERROR(SEARCH("fnd",AI68)))</formula>
    </cfRule>
    <cfRule type="containsText" dxfId="280" priority="865" operator="containsText" text="Str">
      <formula>NOT(ISERROR(SEARCH("Str",AI68)))</formula>
    </cfRule>
  </conditionalFormatting>
  <conditionalFormatting sqref="AI77">
    <cfRule type="containsText" dxfId="279" priority="758" operator="containsText" text="Ere">
      <formula>NOT(ISERROR(SEARCH("Ere",AI77)))</formula>
    </cfRule>
    <cfRule type="containsText" dxfId="278" priority="759" operator="containsText" text="Ear">
      <formula>NOT(ISERROR(SEARCH("Ear",AI77)))</formula>
    </cfRule>
    <cfRule type="containsText" dxfId="277" priority="760" operator="containsText" text="fnd">
      <formula>NOT(ISERROR(SEARCH("fnd",AI77)))</formula>
    </cfRule>
    <cfRule type="containsText" dxfId="276" priority="757" operator="containsText" text="Str">
      <formula>NOT(ISERROR(SEARCH("Str",AI77)))</formula>
    </cfRule>
  </conditionalFormatting>
  <conditionalFormatting sqref="AI104:AI105">
    <cfRule type="containsText" dxfId="275" priority="372" operator="containsText" text="fnd">
      <formula>NOT(ISERROR(SEARCH("fnd",AI104)))</formula>
    </cfRule>
    <cfRule type="containsText" dxfId="274" priority="370" operator="containsText" text="Ere">
      <formula>NOT(ISERROR(SEARCH("Ere",AI104)))</formula>
    </cfRule>
    <cfRule type="containsText" dxfId="273" priority="369" operator="containsText" text="Str">
      <formula>NOT(ISERROR(SEARCH("Str",AI104)))</formula>
    </cfRule>
    <cfRule type="containsText" dxfId="272" priority="371" operator="containsText" text="Ear">
      <formula>NOT(ISERROR(SEARCH("Ear",AI104)))</formula>
    </cfRule>
  </conditionalFormatting>
  <conditionalFormatting sqref="AI113">
    <cfRule type="containsText" dxfId="271" priority="1183" operator="containsText" text="Ear">
      <formula>NOT(ISERROR(SEARCH("Ear",AI113)))</formula>
    </cfRule>
    <cfRule type="containsText" dxfId="270" priority="1184" operator="containsText" text="fnd">
      <formula>NOT(ISERROR(SEARCH("fnd",AI113)))</formula>
    </cfRule>
    <cfRule type="containsText" dxfId="269" priority="1182" operator="containsText" text="Ere">
      <formula>NOT(ISERROR(SEARCH("Ere",AI113)))</formula>
    </cfRule>
    <cfRule type="containsText" dxfId="268" priority="1181" operator="containsText" text="Str">
      <formula>NOT(ISERROR(SEARCH("Str",AI113)))</formula>
    </cfRule>
  </conditionalFormatting>
  <conditionalFormatting sqref="AI122">
    <cfRule type="containsText" dxfId="267" priority="422" operator="containsText" text="Ere">
      <formula>NOT(ISERROR(SEARCH("Ere",AI122)))</formula>
    </cfRule>
    <cfRule type="containsText" dxfId="266" priority="423" operator="containsText" text="Ear">
      <formula>NOT(ISERROR(SEARCH("Ear",AI122)))</formula>
    </cfRule>
    <cfRule type="containsText" dxfId="265" priority="424" operator="containsText" text="fnd">
      <formula>NOT(ISERROR(SEARCH("fnd",AI122)))</formula>
    </cfRule>
    <cfRule type="containsText" dxfId="264" priority="421" operator="containsText" text="Str">
      <formula>NOT(ISERROR(SEARCH("Str",AI122)))</formula>
    </cfRule>
  </conditionalFormatting>
  <conditionalFormatting sqref="AI132:AI135">
    <cfRule type="containsText" dxfId="263" priority="907" operator="containsText" text="Ear">
      <formula>NOT(ISERROR(SEARCH("Ear",AI132)))</formula>
    </cfRule>
    <cfRule type="containsText" dxfId="262" priority="905" operator="containsText" text="Str">
      <formula>NOT(ISERROR(SEARCH("Str",AI132)))</formula>
    </cfRule>
    <cfRule type="containsText" dxfId="261" priority="906" operator="containsText" text="Ere">
      <formula>NOT(ISERROR(SEARCH("Ere",AI132)))</formula>
    </cfRule>
    <cfRule type="containsText" dxfId="260" priority="908" operator="containsText" text="fnd">
      <formula>NOT(ISERROR(SEARCH("fnd",AI132)))</formula>
    </cfRule>
  </conditionalFormatting>
  <conditionalFormatting sqref="AI33:AJ33">
    <cfRule type="containsText" dxfId="259" priority="490" operator="containsText" text="Ere">
      <formula>NOT(ISERROR(SEARCH("Ere",AI33)))</formula>
    </cfRule>
    <cfRule type="containsText" dxfId="258" priority="491" operator="containsText" text="Ear">
      <formula>NOT(ISERROR(SEARCH("Ear",AI33)))</formula>
    </cfRule>
    <cfRule type="containsText" dxfId="257" priority="489" operator="containsText" text="Str">
      <formula>NOT(ISERROR(SEARCH("Str",AI33)))</formula>
    </cfRule>
    <cfRule type="containsText" dxfId="256" priority="492" operator="containsText" text="fnd">
      <formula>NOT(ISERROR(SEARCH("fnd",AI33)))</formula>
    </cfRule>
  </conditionalFormatting>
  <conditionalFormatting sqref="AI51:AJ51">
    <cfRule type="containsText" dxfId="255" priority="1352" operator="containsText" text="fnd">
      <formula>NOT(ISERROR(SEARCH("fnd",AI51)))</formula>
    </cfRule>
    <cfRule type="containsText" dxfId="254" priority="1351" operator="containsText" text="Ear">
      <formula>NOT(ISERROR(SEARCH("Ear",AI51)))</formula>
    </cfRule>
    <cfRule type="containsText" dxfId="253" priority="1349" operator="containsText" text="Str">
      <formula>NOT(ISERROR(SEARCH("Str",AI51)))</formula>
    </cfRule>
    <cfRule type="containsText" dxfId="252" priority="1350" operator="containsText" text="Ere">
      <formula>NOT(ISERROR(SEARCH("Ere",AI51)))</formula>
    </cfRule>
  </conditionalFormatting>
  <conditionalFormatting sqref="AI69:AJ69">
    <cfRule type="containsText" dxfId="251" priority="872" operator="containsText" text="fnd">
      <formula>NOT(ISERROR(SEARCH("fnd",AI69)))</formula>
    </cfRule>
    <cfRule type="containsText" dxfId="250" priority="869" operator="containsText" text="Str">
      <formula>NOT(ISERROR(SEARCH("Str",AI69)))</formula>
    </cfRule>
    <cfRule type="containsText" dxfId="249" priority="870" operator="containsText" text="Ere">
      <formula>NOT(ISERROR(SEARCH("Ere",AI69)))</formula>
    </cfRule>
    <cfRule type="containsText" dxfId="248" priority="871" operator="containsText" text="Ear">
      <formula>NOT(ISERROR(SEARCH("Ear",AI69)))</formula>
    </cfRule>
  </conditionalFormatting>
  <conditionalFormatting sqref="AI78:AJ78">
    <cfRule type="containsText" dxfId="247" priority="764" operator="containsText" text="fnd">
      <formula>NOT(ISERROR(SEARCH("fnd",AI78)))</formula>
    </cfRule>
    <cfRule type="containsText" dxfId="246" priority="761" operator="containsText" text="Str">
      <formula>NOT(ISERROR(SEARCH("Str",AI78)))</formula>
    </cfRule>
    <cfRule type="containsText" dxfId="245" priority="762" operator="containsText" text="Ere">
      <formula>NOT(ISERROR(SEARCH("Ere",AI78)))</formula>
    </cfRule>
    <cfRule type="containsText" dxfId="244" priority="763" operator="containsText" text="Ear">
      <formula>NOT(ISERROR(SEARCH("Ear",AI78)))</formula>
    </cfRule>
  </conditionalFormatting>
  <conditionalFormatting sqref="AI96:AJ96 AL96:AM96 AO96:AP96">
    <cfRule type="containsText" dxfId="243" priority="1271" operator="containsText" text="Ear">
      <formula>NOT(ISERROR(SEARCH("Ear",AI96)))</formula>
    </cfRule>
    <cfRule type="containsText" dxfId="242" priority="1270" operator="containsText" text="Ere">
      <formula>NOT(ISERROR(SEARCH("Ere",AI96)))</formula>
    </cfRule>
    <cfRule type="containsText" dxfId="241" priority="1269" operator="containsText" text="Str">
      <formula>NOT(ISERROR(SEARCH("Str",AI96)))</formula>
    </cfRule>
    <cfRule type="containsText" dxfId="240" priority="1272" operator="containsText" text="fnd">
      <formula>NOT(ISERROR(SEARCH("fnd",AI96)))</formula>
    </cfRule>
  </conditionalFormatting>
  <conditionalFormatting sqref="AI123:AJ123">
    <cfRule type="containsText" dxfId="239" priority="428" operator="containsText" text="fnd">
      <formula>NOT(ISERROR(SEARCH("fnd",AI123)))</formula>
    </cfRule>
    <cfRule type="containsText" dxfId="238" priority="426" operator="containsText" text="Ere">
      <formula>NOT(ISERROR(SEARCH("Ere",AI123)))</formula>
    </cfRule>
    <cfRule type="containsText" dxfId="237" priority="425" operator="containsText" text="Str">
      <formula>NOT(ISERROR(SEARCH("Str",AI123)))</formula>
    </cfRule>
    <cfRule type="containsText" dxfId="236" priority="427" operator="containsText" text="Ear">
      <formula>NOT(ISERROR(SEARCH("Ear",AI123)))</formula>
    </cfRule>
  </conditionalFormatting>
  <conditionalFormatting sqref="AJ6">
    <cfRule type="containsText" dxfId="235" priority="408" operator="containsText" text="fnd">
      <formula>NOT(ISERROR(SEARCH("fnd",AJ6)))</formula>
    </cfRule>
    <cfRule type="containsText" dxfId="234" priority="405" operator="containsText" text="Str">
      <formula>NOT(ISERROR(SEARCH("Str",AJ6)))</formula>
    </cfRule>
    <cfRule type="containsText" dxfId="233" priority="406" operator="containsText" text="Ere">
      <formula>NOT(ISERROR(SEARCH("Ere",AJ6)))</formula>
    </cfRule>
    <cfRule type="containsText" dxfId="232" priority="407" operator="containsText" text="Ear">
      <formula>NOT(ISERROR(SEARCH("Ear",AJ6)))</formula>
    </cfRule>
  </conditionalFormatting>
  <conditionalFormatting sqref="AJ15">
    <cfRule type="containsText" dxfId="231" priority="389" operator="containsText" text="Str">
      <formula>NOT(ISERROR(SEARCH("Str",AJ15)))</formula>
    </cfRule>
    <cfRule type="containsText" dxfId="230" priority="392" operator="containsText" text="fnd">
      <formula>NOT(ISERROR(SEARCH("fnd",AJ15)))</formula>
    </cfRule>
    <cfRule type="containsText" dxfId="229" priority="391" operator="containsText" text="Ear">
      <formula>NOT(ISERROR(SEARCH("Ear",AJ15)))</formula>
    </cfRule>
    <cfRule type="containsText" dxfId="228" priority="390" operator="containsText" text="Ere">
      <formula>NOT(ISERROR(SEARCH("Ere",AJ15)))</formula>
    </cfRule>
  </conditionalFormatting>
  <conditionalFormatting sqref="AJ24">
    <cfRule type="containsText" dxfId="227" priority="62" operator="containsText" text="Ere">
      <formula>NOT(ISERROR(SEARCH("Ere",AJ24)))</formula>
    </cfRule>
    <cfRule type="containsText" dxfId="226" priority="63" operator="containsText" text="Ear">
      <formula>NOT(ISERROR(SEARCH("Ear",AJ24)))</formula>
    </cfRule>
    <cfRule type="containsText" dxfId="225" priority="61" operator="containsText" text="Str">
      <formula>NOT(ISERROR(SEARCH("Str",AJ24)))</formula>
    </cfRule>
    <cfRule type="containsText" dxfId="224" priority="64" operator="containsText" text="fnd">
      <formula>NOT(ISERROR(SEARCH("fnd",AJ24)))</formula>
    </cfRule>
  </conditionalFormatting>
  <conditionalFormatting sqref="AJ42">
    <cfRule type="containsText" dxfId="223" priority="1039" operator="containsText" text="Ear">
      <formula>NOT(ISERROR(SEARCH("Ear",AJ42)))</formula>
    </cfRule>
    <cfRule type="containsText" dxfId="222" priority="1037" operator="containsText" text="Str">
      <formula>NOT(ISERROR(SEARCH("Str",AJ42)))</formula>
    </cfRule>
    <cfRule type="containsText" dxfId="221" priority="1038" operator="containsText" text="Ere">
      <formula>NOT(ISERROR(SEARCH("Ere",AJ42)))</formula>
    </cfRule>
    <cfRule type="containsText" dxfId="220" priority="1040" operator="containsText" text="fnd">
      <formula>NOT(ISERROR(SEARCH("fnd",AJ42)))</formula>
    </cfRule>
  </conditionalFormatting>
  <conditionalFormatting sqref="AJ60">
    <cfRule type="containsText" dxfId="219" priority="1116" operator="containsText" text="fnd">
      <formula>NOT(ISERROR(SEARCH("fnd",AJ60)))</formula>
    </cfRule>
    <cfRule type="containsText" dxfId="218" priority="1115" operator="containsText" text="Ear">
      <formula>NOT(ISERROR(SEARCH("Ear",AJ60)))</formula>
    </cfRule>
    <cfRule type="containsText" dxfId="217" priority="1114" operator="containsText" text="Ere">
      <formula>NOT(ISERROR(SEARCH("Ere",AJ60)))</formula>
    </cfRule>
    <cfRule type="containsText" dxfId="216" priority="1113" operator="containsText" text="Str">
      <formula>NOT(ISERROR(SEARCH("Str",AJ60)))</formula>
    </cfRule>
  </conditionalFormatting>
  <conditionalFormatting sqref="AL5:AL6">
    <cfRule type="containsText" dxfId="215" priority="272" operator="containsText" text="fnd">
      <formula>NOT(ISERROR(SEARCH("fnd",AL5)))</formula>
    </cfRule>
    <cfRule type="containsText" dxfId="214" priority="270" operator="containsText" text="Ere">
      <formula>NOT(ISERROR(SEARCH("Ere",AL5)))</formula>
    </cfRule>
    <cfRule type="containsText" dxfId="213" priority="271" operator="containsText" text="Ear">
      <formula>NOT(ISERROR(SEARCH("Ear",AL5)))</formula>
    </cfRule>
    <cfRule type="containsText" dxfId="212" priority="269" operator="containsText" text="Str">
      <formula>NOT(ISERROR(SEARCH("Str",AL5)))</formula>
    </cfRule>
  </conditionalFormatting>
  <conditionalFormatting sqref="AL14:AL15">
    <cfRule type="containsText" dxfId="211" priority="351" operator="containsText" text="Ear">
      <formula>NOT(ISERROR(SEARCH("Ear",AL14)))</formula>
    </cfRule>
    <cfRule type="containsText" dxfId="210" priority="352" operator="containsText" text="fnd">
      <formula>NOT(ISERROR(SEARCH("fnd",AL14)))</formula>
    </cfRule>
    <cfRule type="containsText" dxfId="209" priority="349" operator="containsText" text="Str">
      <formula>NOT(ISERROR(SEARCH("Str",AL14)))</formula>
    </cfRule>
    <cfRule type="containsText" dxfId="208" priority="350" operator="containsText" text="Ere">
      <formula>NOT(ISERROR(SEARCH("Ere",AL14)))</formula>
    </cfRule>
  </conditionalFormatting>
  <conditionalFormatting sqref="AL23:AL24">
    <cfRule type="containsText" dxfId="207" priority="51" operator="containsText" text="Ear">
      <formula>NOT(ISERROR(SEARCH("Ear",AL23)))</formula>
    </cfRule>
    <cfRule type="containsText" dxfId="206" priority="52" operator="containsText" text="fnd">
      <formula>NOT(ISERROR(SEARCH("fnd",AL23)))</formula>
    </cfRule>
    <cfRule type="containsText" dxfId="205" priority="50" operator="containsText" text="Ere">
      <formula>NOT(ISERROR(SEARCH("Ere",AL23)))</formula>
    </cfRule>
    <cfRule type="containsText" dxfId="204" priority="49" operator="containsText" text="Str">
      <formula>NOT(ISERROR(SEARCH("Str",AL23)))</formula>
    </cfRule>
  </conditionalFormatting>
  <conditionalFormatting sqref="AL41:AL42">
    <cfRule type="containsText" dxfId="203" priority="1226" operator="containsText" text="Ere">
      <formula>NOT(ISERROR(SEARCH("Ere",AL41)))</formula>
    </cfRule>
    <cfRule type="containsText" dxfId="202" priority="1227" operator="containsText" text="Ear">
      <formula>NOT(ISERROR(SEARCH("Ear",AL41)))</formula>
    </cfRule>
    <cfRule type="containsText" dxfId="201" priority="1228" operator="containsText" text="fnd">
      <formula>NOT(ISERROR(SEARCH("fnd",AL41)))</formula>
    </cfRule>
    <cfRule type="containsText" dxfId="200" priority="1225" operator="containsText" text="Str">
      <formula>NOT(ISERROR(SEARCH("Str",AL41)))</formula>
    </cfRule>
  </conditionalFormatting>
  <conditionalFormatting sqref="AL59">
    <cfRule type="containsText" dxfId="199" priority="1086" operator="containsText" text="Ere">
      <formula>NOT(ISERROR(SEARCH("Ere",AL59)))</formula>
    </cfRule>
    <cfRule type="containsText" dxfId="198" priority="1085" operator="containsText" text="Str">
      <formula>NOT(ISERROR(SEARCH("Str",AL59)))</formula>
    </cfRule>
    <cfRule type="containsText" dxfId="197" priority="1087" operator="containsText" text="Ear">
      <formula>NOT(ISERROR(SEARCH("Ear",AL59)))</formula>
    </cfRule>
    <cfRule type="containsText" dxfId="196" priority="1088" operator="containsText" text="fnd">
      <formula>NOT(ISERROR(SEARCH("fnd",AL59)))</formula>
    </cfRule>
  </conditionalFormatting>
  <conditionalFormatting sqref="AL68:AL69">
    <cfRule type="containsText" dxfId="195" priority="886" operator="containsText" text="Ere">
      <formula>NOT(ISERROR(SEARCH("Ere",AL68)))</formula>
    </cfRule>
    <cfRule type="containsText" dxfId="194" priority="885" operator="containsText" text="Str">
      <formula>NOT(ISERROR(SEARCH("Str",AL68)))</formula>
    </cfRule>
    <cfRule type="containsText" dxfId="193" priority="888" operator="containsText" text="fnd">
      <formula>NOT(ISERROR(SEARCH("fnd",AL68)))</formula>
    </cfRule>
    <cfRule type="containsText" dxfId="192" priority="887" operator="containsText" text="Ear">
      <formula>NOT(ISERROR(SEARCH("Ear",AL68)))</formula>
    </cfRule>
  </conditionalFormatting>
  <conditionalFormatting sqref="AL77">
    <cfRule type="containsText" dxfId="191" priority="1150" operator="containsText" text="Ere">
      <formula>NOT(ISERROR(SEARCH("Ere",AL77)))</formula>
    </cfRule>
    <cfRule type="containsText" dxfId="190" priority="1152" operator="containsText" text="fnd">
      <formula>NOT(ISERROR(SEARCH("fnd",AL77)))</formula>
    </cfRule>
    <cfRule type="containsText" dxfId="189" priority="1151" operator="containsText" text="Ear">
      <formula>NOT(ISERROR(SEARCH("Ear",AL77)))</formula>
    </cfRule>
    <cfRule type="containsText" dxfId="188" priority="1149" operator="containsText" text="Str">
      <formula>NOT(ISERROR(SEARCH("Str",AL77)))</formula>
    </cfRule>
  </conditionalFormatting>
  <conditionalFormatting sqref="AL104:AL105">
    <cfRule type="containsText" dxfId="187" priority="341" operator="containsText" text="Str">
      <formula>NOT(ISERROR(SEARCH("Str",AL104)))</formula>
    </cfRule>
    <cfRule type="containsText" dxfId="186" priority="344" operator="containsText" text="fnd">
      <formula>NOT(ISERROR(SEARCH("fnd",AL104)))</formula>
    </cfRule>
    <cfRule type="containsText" dxfId="185" priority="343" operator="containsText" text="Ear">
      <formula>NOT(ISERROR(SEARCH("Ear",AL104)))</formula>
    </cfRule>
    <cfRule type="containsText" dxfId="184" priority="342" operator="containsText" text="Ere">
      <formula>NOT(ISERROR(SEARCH("Ere",AL104)))</formula>
    </cfRule>
  </conditionalFormatting>
  <conditionalFormatting sqref="AL113">
    <cfRule type="containsText" dxfId="183" priority="660" operator="containsText" text="fnd">
      <formula>NOT(ISERROR(SEARCH("fnd",AL113)))</formula>
    </cfRule>
    <cfRule type="containsText" dxfId="182" priority="659" operator="containsText" text="Ear">
      <formula>NOT(ISERROR(SEARCH("Ear",AL113)))</formula>
    </cfRule>
    <cfRule type="containsText" dxfId="181" priority="658" operator="containsText" text="Ere">
      <formula>NOT(ISERROR(SEARCH("Ere",AL113)))</formula>
    </cfRule>
    <cfRule type="containsText" dxfId="180" priority="657" operator="containsText" text="Str">
      <formula>NOT(ISERROR(SEARCH("Str",AL113)))</formula>
    </cfRule>
  </conditionalFormatting>
  <conditionalFormatting sqref="AL122">
    <cfRule type="containsText" dxfId="179" priority="445" operator="containsText" text="Str">
      <formula>NOT(ISERROR(SEARCH("Str",AL122)))</formula>
    </cfRule>
    <cfRule type="containsText" dxfId="178" priority="446" operator="containsText" text="Ere">
      <formula>NOT(ISERROR(SEARCH("Ere",AL122)))</formula>
    </cfRule>
    <cfRule type="containsText" dxfId="177" priority="447" operator="containsText" text="Ear">
      <formula>NOT(ISERROR(SEARCH("Ear",AL122)))</formula>
    </cfRule>
    <cfRule type="containsText" dxfId="176" priority="448" operator="containsText" text="fnd">
      <formula>NOT(ISERROR(SEARCH("fnd",AL122)))</formula>
    </cfRule>
  </conditionalFormatting>
  <conditionalFormatting sqref="AL132:AL135">
    <cfRule type="containsText" dxfId="175" priority="901" operator="containsText" text="Str">
      <formula>NOT(ISERROR(SEARCH("Str",AL132)))</formula>
    </cfRule>
    <cfRule type="containsText" dxfId="174" priority="904" operator="containsText" text="fnd">
      <formula>NOT(ISERROR(SEARCH("fnd",AL132)))</formula>
    </cfRule>
    <cfRule type="containsText" dxfId="173" priority="903" operator="containsText" text="Ear">
      <formula>NOT(ISERROR(SEARCH("Ear",AL132)))</formula>
    </cfRule>
    <cfRule type="containsText" dxfId="172" priority="902" operator="containsText" text="Ere">
      <formula>NOT(ISERROR(SEARCH("Ere",AL132)))</formula>
    </cfRule>
  </conditionalFormatting>
  <conditionalFormatting sqref="AL33:AM33">
    <cfRule type="containsText" dxfId="171" priority="1395" operator="containsText" text="Ear">
      <formula>NOT(ISERROR(SEARCH("Ear",AL33)))</formula>
    </cfRule>
    <cfRule type="containsText" dxfId="170" priority="1396" operator="containsText" text="fnd">
      <formula>NOT(ISERROR(SEARCH("fnd",AL33)))</formula>
    </cfRule>
    <cfRule type="containsText" dxfId="169" priority="1393" operator="containsText" text="Str">
      <formula>NOT(ISERROR(SEARCH("Str",AL33)))</formula>
    </cfRule>
    <cfRule type="containsText" dxfId="168" priority="1394" operator="containsText" text="Ere">
      <formula>NOT(ISERROR(SEARCH("Ere",AL33)))</formula>
    </cfRule>
  </conditionalFormatting>
  <conditionalFormatting sqref="AL60:AM60">
    <cfRule type="containsText" dxfId="167" priority="1112" operator="containsText" text="fnd">
      <formula>NOT(ISERROR(SEARCH("fnd",AL60)))</formula>
    </cfRule>
    <cfRule type="containsText" dxfId="166" priority="1110" operator="containsText" text="Ere">
      <formula>NOT(ISERROR(SEARCH("Ere",AL60)))</formula>
    </cfRule>
    <cfRule type="containsText" dxfId="165" priority="1109" operator="containsText" text="Str">
      <formula>NOT(ISERROR(SEARCH("Str",AL60)))</formula>
    </cfRule>
    <cfRule type="containsText" dxfId="164" priority="1111" operator="containsText" text="Ear">
      <formula>NOT(ISERROR(SEARCH("Ear",AL60)))</formula>
    </cfRule>
  </conditionalFormatting>
  <conditionalFormatting sqref="AL78:AM78">
    <cfRule type="containsText" dxfId="163" priority="1165" operator="containsText" text="Str">
      <formula>NOT(ISERROR(SEARCH("Str",AL78)))</formula>
    </cfRule>
    <cfRule type="containsText" dxfId="162" priority="1166" operator="containsText" text="Ere">
      <formula>NOT(ISERROR(SEARCH("Ere",AL78)))</formula>
    </cfRule>
    <cfRule type="containsText" dxfId="161" priority="1167" operator="containsText" text="Ear">
      <formula>NOT(ISERROR(SEARCH("Ear",AL78)))</formula>
    </cfRule>
    <cfRule type="containsText" dxfId="160" priority="1168" operator="containsText" text="fnd">
      <formula>NOT(ISERROR(SEARCH("fnd",AL78)))</formula>
    </cfRule>
  </conditionalFormatting>
  <conditionalFormatting sqref="AL114:AM114">
    <cfRule type="containsText" dxfId="159" priority="663" operator="containsText" text="Ear">
      <formula>NOT(ISERROR(SEARCH("Ear",AL114)))</formula>
    </cfRule>
    <cfRule type="containsText" dxfId="158" priority="664" operator="containsText" text="fnd">
      <formula>NOT(ISERROR(SEARCH("fnd",AL114)))</formula>
    </cfRule>
    <cfRule type="containsText" dxfId="157" priority="661" operator="containsText" text="Str">
      <formula>NOT(ISERROR(SEARCH("Str",AL114)))</formula>
    </cfRule>
    <cfRule type="containsText" dxfId="156" priority="662" operator="containsText" text="Ere">
      <formula>NOT(ISERROR(SEARCH("Ere",AL114)))</formula>
    </cfRule>
  </conditionalFormatting>
  <conditionalFormatting sqref="AL123:AM123">
    <cfRule type="containsText" dxfId="155" priority="452" operator="containsText" text="fnd">
      <formula>NOT(ISERROR(SEARCH("fnd",AL123)))</formula>
    </cfRule>
    <cfRule type="containsText" dxfId="154" priority="450" operator="containsText" text="Ere">
      <formula>NOT(ISERROR(SEARCH("Ere",AL123)))</formula>
    </cfRule>
    <cfRule type="containsText" dxfId="153" priority="451" operator="containsText" text="Ear">
      <formula>NOT(ISERROR(SEARCH("Ear",AL123)))</formula>
    </cfRule>
    <cfRule type="containsText" dxfId="152" priority="449" operator="containsText" text="Str">
      <formula>NOT(ISERROR(SEARCH("Str",AL123)))</formula>
    </cfRule>
  </conditionalFormatting>
  <conditionalFormatting sqref="AM6">
    <cfRule type="containsText" dxfId="151" priority="268" operator="containsText" text="fnd">
      <formula>NOT(ISERROR(SEARCH("fnd",AM6)))</formula>
    </cfRule>
    <cfRule type="containsText" dxfId="150" priority="265" operator="containsText" text="Str">
      <formula>NOT(ISERROR(SEARCH("Str",AM6)))</formula>
    </cfRule>
    <cfRule type="containsText" dxfId="149" priority="266" operator="containsText" text="Ere">
      <formula>NOT(ISERROR(SEARCH("Ere",AM6)))</formula>
    </cfRule>
    <cfRule type="containsText" dxfId="148" priority="267" operator="containsText" text="Ear">
      <formula>NOT(ISERROR(SEARCH("Ear",AM6)))</formula>
    </cfRule>
  </conditionalFormatting>
  <conditionalFormatting sqref="AM15">
    <cfRule type="containsText" dxfId="147" priority="346" operator="containsText" text="Ere">
      <formula>NOT(ISERROR(SEARCH("Ere",AM15)))</formula>
    </cfRule>
    <cfRule type="containsText" dxfId="146" priority="347" operator="containsText" text="Ear">
      <formula>NOT(ISERROR(SEARCH("Ear",AM15)))</formula>
    </cfRule>
    <cfRule type="containsText" dxfId="145" priority="348" operator="containsText" text="fnd">
      <formula>NOT(ISERROR(SEARCH("fnd",AM15)))</formula>
    </cfRule>
    <cfRule type="containsText" dxfId="144" priority="345" operator="containsText" text="Str">
      <formula>NOT(ISERROR(SEARCH("Str",AM15)))</formula>
    </cfRule>
  </conditionalFormatting>
  <conditionalFormatting sqref="AM24">
    <cfRule type="containsText" dxfId="143" priority="46" operator="containsText" text="Ere">
      <formula>NOT(ISERROR(SEARCH("Ere",AM24)))</formula>
    </cfRule>
    <cfRule type="containsText" dxfId="142" priority="45" operator="containsText" text="Str">
      <formula>NOT(ISERROR(SEARCH("Str",AM24)))</formula>
    </cfRule>
    <cfRule type="containsText" dxfId="141" priority="48" operator="containsText" text="fnd">
      <formula>NOT(ISERROR(SEARCH("fnd",AM24)))</formula>
    </cfRule>
    <cfRule type="containsText" dxfId="140" priority="47" operator="containsText" text="Ear">
      <formula>NOT(ISERROR(SEARCH("Ear",AM24)))</formula>
    </cfRule>
  </conditionalFormatting>
  <conditionalFormatting sqref="AM42">
    <cfRule type="containsText" dxfId="139" priority="1362" operator="containsText" text="Ere">
      <formula>NOT(ISERROR(SEARCH("Ere",AM42)))</formula>
    </cfRule>
    <cfRule type="containsText" dxfId="138" priority="1363" operator="containsText" text="Ear">
      <formula>NOT(ISERROR(SEARCH("Ear",AM42)))</formula>
    </cfRule>
    <cfRule type="containsText" dxfId="137" priority="1361" operator="containsText" text="Str">
      <formula>NOT(ISERROR(SEARCH("Str",AM42)))</formula>
    </cfRule>
    <cfRule type="containsText" dxfId="136" priority="1364" operator="containsText" text="fnd">
      <formula>NOT(ISERROR(SEARCH("fnd",AM42)))</formula>
    </cfRule>
  </conditionalFormatting>
  <conditionalFormatting sqref="AO5:AO6">
    <cfRule type="containsText" dxfId="135" priority="204" operator="containsText" text="fnd">
      <formula>NOT(ISERROR(SEARCH("fnd",AO5)))</formula>
    </cfRule>
    <cfRule type="containsText" dxfId="134" priority="203" operator="containsText" text="Ear">
      <formula>NOT(ISERROR(SEARCH("Ear",AO5)))</formula>
    </cfRule>
    <cfRule type="containsText" dxfId="133" priority="202" operator="containsText" text="Ere">
      <formula>NOT(ISERROR(SEARCH("Ere",AO5)))</formula>
    </cfRule>
    <cfRule type="containsText" dxfId="132" priority="201" operator="containsText" text="Str">
      <formula>NOT(ISERROR(SEARCH("Str",AO5)))</formula>
    </cfRule>
  </conditionalFormatting>
  <conditionalFormatting sqref="AO14:AO15">
    <cfRule type="containsText" dxfId="131" priority="528" operator="containsText" text="fnd">
      <formula>NOT(ISERROR(SEARCH("fnd",AO14)))</formula>
    </cfRule>
    <cfRule type="containsText" dxfId="130" priority="527" operator="containsText" text="Ear">
      <formula>NOT(ISERROR(SEARCH("Ear",AO14)))</formula>
    </cfRule>
    <cfRule type="containsText" dxfId="129" priority="526" operator="containsText" text="Ere">
      <formula>NOT(ISERROR(SEARCH("Ere",AO14)))</formula>
    </cfRule>
    <cfRule type="containsText" dxfId="128" priority="525" operator="containsText" text="Str">
      <formula>NOT(ISERROR(SEARCH("Str",AO14)))</formula>
    </cfRule>
  </conditionalFormatting>
  <conditionalFormatting sqref="AO23:AO24">
    <cfRule type="containsText" dxfId="127" priority="44" operator="containsText" text="fnd">
      <formula>NOT(ISERROR(SEARCH("fnd",AO23)))</formula>
    </cfRule>
    <cfRule type="containsText" dxfId="126" priority="43" operator="containsText" text="Ear">
      <formula>NOT(ISERROR(SEARCH("Ear",AO23)))</formula>
    </cfRule>
    <cfRule type="containsText" dxfId="125" priority="42" operator="containsText" text="Ere">
      <formula>NOT(ISERROR(SEARCH("Ere",AO23)))</formula>
    </cfRule>
    <cfRule type="containsText" dxfId="124" priority="41" operator="containsText" text="Str">
      <formula>NOT(ISERROR(SEARCH("Str",AO23)))</formula>
    </cfRule>
  </conditionalFormatting>
  <conditionalFormatting sqref="AO41:AO42">
    <cfRule type="containsText" dxfId="123" priority="1052" operator="containsText" text="fnd">
      <formula>NOT(ISERROR(SEARCH("fnd",AO41)))</formula>
    </cfRule>
    <cfRule type="containsText" dxfId="122" priority="1051" operator="containsText" text="Ear">
      <formula>NOT(ISERROR(SEARCH("Ear",AO41)))</formula>
    </cfRule>
    <cfRule type="containsText" dxfId="121" priority="1050" operator="containsText" text="Ere">
      <formula>NOT(ISERROR(SEARCH("Ere",AO41)))</formula>
    </cfRule>
    <cfRule type="containsText" dxfId="120" priority="1049" operator="containsText" text="Str">
      <formula>NOT(ISERROR(SEARCH("Str",AO41)))</formula>
    </cfRule>
  </conditionalFormatting>
  <conditionalFormatting sqref="AO59">
    <cfRule type="containsText" dxfId="119" priority="69" operator="containsText" text="Str">
      <formula>NOT(ISERROR(SEARCH("Str",AO59)))</formula>
    </cfRule>
    <cfRule type="containsText" dxfId="118" priority="70" operator="containsText" text="Ere">
      <formula>NOT(ISERROR(SEARCH("Ere",AO59)))</formula>
    </cfRule>
    <cfRule type="containsText" dxfId="117" priority="71" operator="containsText" text="Ear">
      <formula>NOT(ISERROR(SEARCH("Ear",AO59)))</formula>
    </cfRule>
    <cfRule type="containsText" dxfId="116" priority="72" operator="containsText" text="fnd">
      <formula>NOT(ISERROR(SEARCH("fnd",AO59)))</formula>
    </cfRule>
  </conditionalFormatting>
  <conditionalFormatting sqref="AO68:AO69">
    <cfRule type="containsText" dxfId="115" priority="838" operator="containsText" text="Ere">
      <formula>NOT(ISERROR(SEARCH("Ere",AO68)))</formula>
    </cfRule>
    <cfRule type="containsText" dxfId="114" priority="837" operator="containsText" text="Str">
      <formula>NOT(ISERROR(SEARCH("Str",AO68)))</formula>
    </cfRule>
    <cfRule type="containsText" dxfId="113" priority="840" operator="containsText" text="fnd">
      <formula>NOT(ISERROR(SEARCH("fnd",AO68)))</formula>
    </cfRule>
    <cfRule type="containsText" dxfId="112" priority="839" operator="containsText" text="Ear">
      <formula>NOT(ISERROR(SEARCH("Ear",AO68)))</formula>
    </cfRule>
  </conditionalFormatting>
  <conditionalFormatting sqref="AO77">
    <cfRule type="containsText" dxfId="111" priority="877" operator="containsText" text="Str">
      <formula>NOT(ISERROR(SEARCH("Str",AO77)))</formula>
    </cfRule>
    <cfRule type="containsText" dxfId="110" priority="878" operator="containsText" text="Ere">
      <formula>NOT(ISERROR(SEARCH("Ere",AO77)))</formula>
    </cfRule>
    <cfRule type="containsText" dxfId="109" priority="879" operator="containsText" text="Ear">
      <formula>NOT(ISERROR(SEARCH("Ear",AO77)))</formula>
    </cfRule>
    <cfRule type="containsText" dxfId="108" priority="880" operator="containsText" text="fnd">
      <formula>NOT(ISERROR(SEARCH("fnd",AO77)))</formula>
    </cfRule>
  </conditionalFormatting>
  <conditionalFormatting sqref="AO86">
    <cfRule type="containsText" dxfId="107" priority="828" operator="containsText" text="fnd">
      <formula>NOT(ISERROR(SEARCH("fnd",AO86)))</formula>
    </cfRule>
    <cfRule type="containsText" dxfId="106" priority="827" operator="containsText" text="Ear">
      <formula>NOT(ISERROR(SEARCH("Ear",AO86)))</formula>
    </cfRule>
    <cfRule type="containsText" dxfId="105" priority="826" operator="containsText" text="Ere">
      <formula>NOT(ISERROR(SEARCH("Ere",AO86)))</formula>
    </cfRule>
    <cfRule type="containsText" dxfId="104" priority="825" operator="containsText" text="Str">
      <formula>NOT(ISERROR(SEARCH("Str",AO86)))</formula>
    </cfRule>
  </conditionalFormatting>
  <conditionalFormatting sqref="AO95">
    <cfRule type="containsText" dxfId="103" priority="817" operator="containsText" text="Str">
      <formula>NOT(ISERROR(SEARCH("Str",AO95)))</formula>
    </cfRule>
    <cfRule type="containsText" dxfId="102" priority="818" operator="containsText" text="Ere">
      <formula>NOT(ISERROR(SEARCH("Ere",AO95)))</formula>
    </cfRule>
    <cfRule type="containsText" dxfId="101" priority="819" operator="containsText" text="Ear">
      <formula>NOT(ISERROR(SEARCH("Ear",AO95)))</formula>
    </cfRule>
    <cfRule type="containsText" dxfId="100" priority="820" operator="containsText" text="fnd">
      <formula>NOT(ISERROR(SEARCH("fnd",AO95)))</formula>
    </cfRule>
  </conditionalFormatting>
  <conditionalFormatting sqref="AO104:AO105">
    <cfRule type="containsText" dxfId="99" priority="666" operator="containsText" text="Ere">
      <formula>NOT(ISERROR(SEARCH("Ere",AO104)))</formula>
    </cfRule>
    <cfRule type="containsText" dxfId="98" priority="668" operator="containsText" text="fnd">
      <formula>NOT(ISERROR(SEARCH("fnd",AO104)))</formula>
    </cfRule>
    <cfRule type="containsText" dxfId="97" priority="667" operator="containsText" text="Ear">
      <formula>NOT(ISERROR(SEARCH("Ear",AO104)))</formula>
    </cfRule>
    <cfRule type="containsText" dxfId="96" priority="665" operator="containsText" text="Str">
      <formula>NOT(ISERROR(SEARCH("Str",AO104)))</formula>
    </cfRule>
  </conditionalFormatting>
  <conditionalFormatting sqref="AO113">
    <cfRule type="containsText" dxfId="95" priority="671" operator="containsText" text="Ear">
      <formula>NOT(ISERROR(SEARCH("Ear",AO113)))</formula>
    </cfRule>
    <cfRule type="containsText" dxfId="94" priority="670" operator="containsText" text="Ere">
      <formula>NOT(ISERROR(SEARCH("Ere",AO113)))</formula>
    </cfRule>
    <cfRule type="containsText" dxfId="93" priority="669" operator="containsText" text="Str">
      <formula>NOT(ISERROR(SEARCH("Str",AO113)))</formula>
    </cfRule>
    <cfRule type="containsText" dxfId="92" priority="672" operator="containsText" text="fnd">
      <formula>NOT(ISERROR(SEARCH("fnd",AO113)))</formula>
    </cfRule>
  </conditionalFormatting>
  <conditionalFormatting sqref="AO122">
    <cfRule type="containsText" dxfId="91" priority="317" operator="containsText" text="Str">
      <formula>NOT(ISERROR(SEARCH("Str",AO122)))</formula>
    </cfRule>
    <cfRule type="containsText" dxfId="90" priority="318" operator="containsText" text="Ere">
      <formula>NOT(ISERROR(SEARCH("Ere",AO122)))</formula>
    </cfRule>
    <cfRule type="containsText" dxfId="89" priority="319" operator="containsText" text="Ear">
      <formula>NOT(ISERROR(SEARCH("Ear",AO122)))</formula>
    </cfRule>
    <cfRule type="containsText" dxfId="88" priority="320" operator="containsText" text="fnd">
      <formula>NOT(ISERROR(SEARCH("fnd",AO122)))</formula>
    </cfRule>
  </conditionalFormatting>
  <conditionalFormatting sqref="AO132:AO135">
    <cfRule type="containsText" dxfId="87" priority="899" operator="containsText" text="Ear">
      <formula>NOT(ISERROR(SEARCH("Ear",AO132)))</formula>
    </cfRule>
    <cfRule type="containsText" dxfId="86" priority="900" operator="containsText" text="fnd">
      <formula>NOT(ISERROR(SEARCH("fnd",AO132)))</formula>
    </cfRule>
    <cfRule type="containsText" dxfId="85" priority="897" operator="containsText" text="Str">
      <formula>NOT(ISERROR(SEARCH("Str",AO132)))</formula>
    </cfRule>
    <cfRule type="containsText" dxfId="84" priority="898" operator="containsText" text="Ere">
      <formula>NOT(ISERROR(SEARCH("Ere",AO132)))</formula>
    </cfRule>
  </conditionalFormatting>
  <conditionalFormatting sqref="AO33:AP33">
    <cfRule type="containsText" dxfId="83" priority="1389" operator="containsText" text="Str">
      <formula>NOT(ISERROR(SEARCH("Str",AO33)))</formula>
    </cfRule>
    <cfRule type="containsText" dxfId="82" priority="1390" operator="containsText" text="Ere">
      <formula>NOT(ISERROR(SEARCH("Ere",AO33)))</formula>
    </cfRule>
    <cfRule type="containsText" dxfId="81" priority="1391" operator="containsText" text="Ear">
      <formula>NOT(ISERROR(SEARCH("Ear",AO33)))</formula>
    </cfRule>
    <cfRule type="containsText" dxfId="80" priority="1392" operator="containsText" text="fnd">
      <formula>NOT(ISERROR(SEARCH("fnd",AO33)))</formula>
    </cfRule>
  </conditionalFormatting>
  <conditionalFormatting sqref="AO60:AP60">
    <cfRule type="containsText" dxfId="79" priority="76" operator="containsText" text="fnd">
      <formula>NOT(ISERROR(SEARCH("fnd",AO60)))</formula>
    </cfRule>
    <cfRule type="containsText" dxfId="78" priority="75" operator="containsText" text="Ear">
      <formula>NOT(ISERROR(SEARCH("Ear",AO60)))</formula>
    </cfRule>
    <cfRule type="containsText" dxfId="77" priority="74" operator="containsText" text="Ere">
      <formula>NOT(ISERROR(SEARCH("Ere",AO60)))</formula>
    </cfRule>
    <cfRule type="containsText" dxfId="76" priority="73" operator="containsText" text="Str">
      <formula>NOT(ISERROR(SEARCH("Str",AO60)))</formula>
    </cfRule>
  </conditionalFormatting>
  <conditionalFormatting sqref="AO78:AP78">
    <cfRule type="containsText" dxfId="75" priority="884" operator="containsText" text="fnd">
      <formula>NOT(ISERROR(SEARCH("fnd",AO78)))</formula>
    </cfRule>
    <cfRule type="containsText" dxfId="74" priority="881" operator="containsText" text="Str">
      <formula>NOT(ISERROR(SEARCH("Str",AO78)))</formula>
    </cfRule>
    <cfRule type="containsText" dxfId="73" priority="882" operator="containsText" text="Ere">
      <formula>NOT(ISERROR(SEARCH("Ere",AO78)))</formula>
    </cfRule>
    <cfRule type="containsText" dxfId="72" priority="883" operator="containsText" text="Ear">
      <formula>NOT(ISERROR(SEARCH("Ear",AO78)))</formula>
    </cfRule>
  </conditionalFormatting>
  <conditionalFormatting sqref="AO87:AP87">
    <cfRule type="containsText" dxfId="71" priority="829" operator="containsText" text="Str">
      <formula>NOT(ISERROR(SEARCH("Str",AO87)))</formula>
    </cfRule>
    <cfRule type="containsText" dxfId="70" priority="830" operator="containsText" text="Ere">
      <formula>NOT(ISERROR(SEARCH("Ere",AO87)))</formula>
    </cfRule>
    <cfRule type="containsText" dxfId="69" priority="831" operator="containsText" text="Ear">
      <formula>NOT(ISERROR(SEARCH("Ear",AO87)))</formula>
    </cfRule>
    <cfRule type="containsText" dxfId="68" priority="832" operator="containsText" text="fnd">
      <formula>NOT(ISERROR(SEARCH("fnd",AO87)))</formula>
    </cfRule>
  </conditionalFormatting>
  <conditionalFormatting sqref="AO114:AP114">
    <cfRule type="containsText" dxfId="67" priority="676" operator="containsText" text="fnd">
      <formula>NOT(ISERROR(SEARCH("fnd",AO114)))</formula>
    </cfRule>
    <cfRule type="containsText" dxfId="66" priority="674" operator="containsText" text="Ere">
      <formula>NOT(ISERROR(SEARCH("Ere",AO114)))</formula>
    </cfRule>
    <cfRule type="containsText" dxfId="65" priority="673" operator="containsText" text="Str">
      <formula>NOT(ISERROR(SEARCH("Str",AO114)))</formula>
    </cfRule>
    <cfRule type="containsText" dxfId="64" priority="675" operator="containsText" text="Ear">
      <formula>NOT(ISERROR(SEARCH("Ear",AO114)))</formula>
    </cfRule>
  </conditionalFormatting>
  <conditionalFormatting sqref="AO123:AP123">
    <cfRule type="containsText" dxfId="63" priority="323" operator="containsText" text="Ear">
      <formula>NOT(ISERROR(SEARCH("Ear",AO123)))</formula>
    </cfRule>
    <cfRule type="containsText" dxfId="62" priority="322" operator="containsText" text="Ere">
      <formula>NOT(ISERROR(SEARCH("Ere",AO123)))</formula>
    </cfRule>
    <cfRule type="containsText" dxfId="61" priority="321" operator="containsText" text="Str">
      <formula>NOT(ISERROR(SEARCH("Str",AO123)))</formula>
    </cfRule>
    <cfRule type="containsText" dxfId="60" priority="324" operator="containsText" text="fnd">
      <formula>NOT(ISERROR(SEARCH("fnd",AO123)))</formula>
    </cfRule>
  </conditionalFormatting>
  <conditionalFormatting sqref="AP6">
    <cfRule type="containsText" dxfId="59" priority="197" operator="containsText" text="Str">
      <formula>NOT(ISERROR(SEARCH("Str",AP6)))</formula>
    </cfRule>
    <cfRule type="containsText" dxfId="58" priority="198" operator="containsText" text="Ere">
      <formula>NOT(ISERROR(SEARCH("Ere",AP6)))</formula>
    </cfRule>
    <cfRule type="containsText" dxfId="57" priority="199" operator="containsText" text="Ear">
      <formula>NOT(ISERROR(SEARCH("Ear",AP6)))</formula>
    </cfRule>
    <cfRule type="containsText" dxfId="56" priority="200" operator="containsText" text="fnd">
      <formula>NOT(ISERROR(SEARCH("fnd",AP6)))</formula>
    </cfRule>
  </conditionalFormatting>
  <conditionalFormatting sqref="AP15">
    <cfRule type="containsText" dxfId="55" priority="522" operator="containsText" text="Ere">
      <formula>NOT(ISERROR(SEARCH("Ere",AP15)))</formula>
    </cfRule>
    <cfRule type="containsText" dxfId="54" priority="524" operator="containsText" text="fnd">
      <formula>NOT(ISERROR(SEARCH("fnd",AP15)))</formula>
    </cfRule>
    <cfRule type="containsText" dxfId="53" priority="523" operator="containsText" text="Ear">
      <formula>NOT(ISERROR(SEARCH("Ear",AP15)))</formula>
    </cfRule>
    <cfRule type="containsText" dxfId="52" priority="521" operator="containsText" text="Str">
      <formula>NOT(ISERROR(SEARCH("Str",AP15)))</formula>
    </cfRule>
  </conditionalFormatting>
  <conditionalFormatting sqref="AP24">
    <cfRule type="containsText" dxfId="51" priority="37" operator="containsText" text="Str">
      <formula>NOT(ISERROR(SEARCH("Str",AP24)))</formula>
    </cfRule>
    <cfRule type="containsText" dxfId="50" priority="40" operator="containsText" text="fnd">
      <formula>NOT(ISERROR(SEARCH("fnd",AP24)))</formula>
    </cfRule>
    <cfRule type="containsText" dxfId="49" priority="39" operator="containsText" text="Ear">
      <formula>NOT(ISERROR(SEARCH("Ear",AP24)))</formula>
    </cfRule>
    <cfRule type="containsText" dxfId="48" priority="38" operator="containsText" text="Ere">
      <formula>NOT(ISERROR(SEARCH("Ere",AP24)))</formula>
    </cfRule>
  </conditionalFormatting>
  <conditionalFormatting sqref="AP42">
    <cfRule type="containsText" dxfId="47" priority="1017" operator="containsText" text="Str">
      <formula>NOT(ISERROR(SEARCH("Str",AP42)))</formula>
    </cfRule>
    <cfRule type="containsText" dxfId="46" priority="1018" operator="containsText" text="Ere">
      <formula>NOT(ISERROR(SEARCH("Ere",AP42)))</formula>
    </cfRule>
    <cfRule type="containsText" dxfId="45" priority="1019" operator="containsText" text="Ear">
      <formula>NOT(ISERROR(SEARCH("Ear",AP42)))</formula>
    </cfRule>
    <cfRule type="containsText" dxfId="44" priority="1020" operator="containsText" text="fnd">
      <formula>NOT(ISERROR(SEARCH("fnd",AP42)))</formula>
    </cfRule>
  </conditionalFormatting>
  <conditionalFormatting sqref="AP69">
    <cfRule type="containsText" dxfId="43" priority="843" operator="containsText" text="Ear">
      <formula>NOT(ISERROR(SEARCH("Ear",AP69)))</formula>
    </cfRule>
    <cfRule type="containsText" dxfId="42" priority="844" operator="containsText" text="fnd">
      <formula>NOT(ISERROR(SEARCH("fnd",AP69)))</formula>
    </cfRule>
    <cfRule type="containsText" dxfId="41" priority="842" operator="containsText" text="Ere">
      <formula>NOT(ISERROR(SEARCH("Ere",AP69)))</formula>
    </cfRule>
    <cfRule type="containsText" dxfId="40" priority="841" operator="containsText" text="Str">
      <formula>NOT(ISERROR(SEARCH("Str",AP69)))</formula>
    </cfRule>
  </conditionalFormatting>
  <conditionalFormatting sqref="AR32">
    <cfRule type="containsText" dxfId="39" priority="95" operator="containsText" text="Ear">
      <formula>NOT(ISERROR(SEARCH("Ear",AR32)))</formula>
    </cfRule>
    <cfRule type="containsText" dxfId="38" priority="96" operator="containsText" text="fnd">
      <formula>NOT(ISERROR(SEARCH("fnd",AR32)))</formula>
    </cfRule>
    <cfRule type="containsText" dxfId="37" priority="93" operator="containsText" text="Str">
      <formula>NOT(ISERROR(SEARCH("Str",AR32)))</formula>
    </cfRule>
    <cfRule type="containsText" dxfId="36" priority="94" operator="containsText" text="Ere">
      <formula>NOT(ISERROR(SEARCH("Ere",AR32)))</formula>
    </cfRule>
  </conditionalFormatting>
  <conditionalFormatting sqref="AR33:AT33">
    <cfRule type="containsText" dxfId="35" priority="97" operator="containsText" text="Str">
      <formula>NOT(ISERROR(SEARCH("Str",AR33)))</formula>
    </cfRule>
    <cfRule type="containsText" dxfId="34" priority="98" operator="containsText" text="Ere">
      <formula>NOT(ISERROR(SEARCH("Ere",AR33)))</formula>
    </cfRule>
    <cfRule type="containsText" dxfId="33" priority="99" operator="containsText" text="Ear">
      <formula>NOT(ISERROR(SEARCH("Ear",AR33)))</formula>
    </cfRule>
    <cfRule type="containsText" dxfId="32" priority="100" operator="containsText" text="fnd">
      <formula>NOT(ISERROR(SEARCH("fnd",AR33)))</formula>
    </cfRule>
  </conditionalFormatting>
  <conditionalFormatting sqref="BA2 AW2:AY3 AZ3:BA3">
    <cfRule type="containsText" dxfId="31" priority="1401" operator="containsText" text="Str">
      <formula>NOT(ISERROR(SEARCH("Str",AW2)))</formula>
    </cfRule>
    <cfRule type="containsText" dxfId="30" priority="1402" operator="containsText" text="Ere">
      <formula>NOT(ISERROR(SEARCH("Ere",AW2)))</formula>
    </cfRule>
    <cfRule type="containsText" dxfId="29" priority="1403" operator="containsText" text="Ear">
      <formula>NOT(ISERROR(SEARCH("Ear",AW2)))</formula>
    </cfRule>
    <cfRule type="containsText" dxfId="28" priority="1404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52"/>
  <sheetViews>
    <sheetView view="pageBreakPreview" zoomScale="55" zoomScaleNormal="80" zoomScaleSheetLayoutView="55" workbookViewId="0">
      <pane ySplit="2" topLeftCell="A15" activePane="bottomLeft" state="frozen"/>
      <selection sqref="A1:H1"/>
      <selection pane="bottomLeft" activeCell="AK48" sqref="AK48:AM48"/>
    </sheetView>
  </sheetViews>
  <sheetFormatPr defaultColWidth="8.7109375" defaultRowHeight="15"/>
  <cols>
    <col min="1" max="1" width="1.42578125" style="275" customWidth="1"/>
    <col min="2" max="3" width="4" style="275" customWidth="1"/>
    <col min="4" max="4" width="6.140625" style="371" customWidth="1"/>
    <col min="5" max="6" width="4" style="275" customWidth="1"/>
    <col min="7" max="7" width="6.140625" style="371" customWidth="1"/>
    <col min="8" max="9" width="4" style="275" customWidth="1"/>
    <col min="10" max="10" width="6.140625" style="371" customWidth="1"/>
    <col min="11" max="12" width="4" style="275" customWidth="1"/>
    <col min="13" max="13" width="6.140625" style="371" customWidth="1"/>
    <col min="14" max="15" width="4" style="275" customWidth="1"/>
    <col min="16" max="16" width="6.140625" style="371" customWidth="1"/>
    <col min="17" max="18" width="4" style="275" customWidth="1"/>
    <col min="19" max="19" width="6.140625" style="371" customWidth="1"/>
    <col min="20" max="21" width="4" style="275" customWidth="1"/>
    <col min="22" max="22" width="6.140625" style="371" customWidth="1"/>
    <col min="23" max="24" width="4" style="275" customWidth="1"/>
    <col min="25" max="25" width="6.140625" style="371" customWidth="1"/>
    <col min="26" max="27" width="4" style="275" customWidth="1"/>
    <col min="28" max="28" width="6.140625" style="371" customWidth="1"/>
    <col min="29" max="30" width="4" style="275" customWidth="1"/>
    <col min="31" max="31" width="6.28515625" style="275" customWidth="1"/>
    <col min="32" max="33" width="4" style="275" customWidth="1"/>
    <col min="34" max="34" width="6.140625" style="371" customWidth="1"/>
    <col min="35" max="36" width="4" style="275" customWidth="1"/>
    <col min="37" max="37" width="6.140625" style="371" customWidth="1"/>
    <col min="38" max="39" width="4" style="275" customWidth="1"/>
    <col min="40" max="40" width="6.140625" style="371" customWidth="1"/>
    <col min="41" max="41" width="4" style="275" customWidth="1"/>
    <col min="42" max="42" width="3.42578125" style="275" customWidth="1"/>
    <col min="43" max="43" width="6.140625" style="371" customWidth="1"/>
    <col min="44" max="44" width="6" style="275" customWidth="1"/>
    <col min="45" max="45" width="6.140625" style="275" customWidth="1"/>
    <col min="46" max="46" width="6" style="275" customWidth="1"/>
    <col min="47" max="48" width="5.7109375" style="275" customWidth="1"/>
    <col min="49" max="50" width="7.140625" style="275" customWidth="1"/>
    <col min="51" max="16384" width="8.7109375" style="275"/>
  </cols>
  <sheetData>
    <row r="1" spans="1:60" ht="15.75" customHeight="1" thickBot="1">
      <c r="A1" s="802" t="str">
        <f>+[1]Summary!A2</f>
        <v>Name of the Line: 220KV DC AL59 line from Neemuch - Chanderiya + 132KV DC ACSS Line from Chanderiya to Hindustan Zinc</v>
      </c>
      <c r="B1" s="803"/>
      <c r="C1" s="803"/>
      <c r="D1" s="803"/>
      <c r="E1" s="803"/>
      <c r="F1" s="803"/>
      <c r="G1" s="803"/>
      <c r="H1" s="803"/>
      <c r="I1" s="803"/>
      <c r="J1" s="803"/>
      <c r="K1" s="803"/>
      <c r="L1" s="803"/>
      <c r="M1" s="803"/>
      <c r="N1" s="803"/>
      <c r="O1" s="803"/>
      <c r="P1" s="803"/>
      <c r="Q1" s="803"/>
      <c r="R1" s="803"/>
      <c r="S1" s="803"/>
      <c r="T1" s="803"/>
      <c r="U1" s="803"/>
      <c r="V1" s="803"/>
      <c r="W1" s="803"/>
      <c r="X1" s="803"/>
      <c r="Y1" s="803"/>
      <c r="Z1" s="803"/>
      <c r="AA1" s="803"/>
      <c r="AB1" s="803"/>
      <c r="AC1" s="803"/>
      <c r="AD1" s="803"/>
      <c r="AE1" s="803"/>
      <c r="AF1" s="803"/>
      <c r="AG1" s="803"/>
      <c r="AH1" s="803"/>
      <c r="AI1" s="803"/>
      <c r="AJ1" s="803"/>
      <c r="AK1" s="803"/>
      <c r="AL1" s="803"/>
      <c r="AM1" s="803"/>
      <c r="AN1" s="803"/>
      <c r="AO1" s="803"/>
      <c r="AP1" s="803"/>
      <c r="AQ1" s="804"/>
      <c r="AS1" s="740">
        <f>Summary!R5</f>
        <v>46230</v>
      </c>
      <c r="AT1" s="740"/>
      <c r="AU1" s="740"/>
      <c r="AV1" s="740"/>
      <c r="AW1" s="740"/>
      <c r="AX1" s="740"/>
    </row>
    <row r="2" spans="1:60" ht="19.5" thickBot="1">
      <c r="A2" s="362"/>
      <c r="B2" s="297"/>
      <c r="C2" s="297"/>
      <c r="D2" s="457"/>
      <c r="E2" s="297"/>
      <c r="F2" s="297"/>
      <c r="G2" s="457"/>
      <c r="H2" s="297"/>
      <c r="I2" s="297"/>
      <c r="J2" s="457"/>
      <c r="K2" s="297"/>
      <c r="L2" s="297"/>
      <c r="M2" s="457"/>
      <c r="N2" s="297"/>
      <c r="O2" s="297"/>
      <c r="P2" s="457"/>
      <c r="Q2" s="805" t="s">
        <v>619</v>
      </c>
      <c r="R2" s="805"/>
      <c r="S2" s="805"/>
      <c r="T2" s="805"/>
      <c r="U2" s="805"/>
      <c r="V2" s="805"/>
      <c r="W2" s="805"/>
      <c r="X2" s="805"/>
      <c r="Y2" s="805"/>
      <c r="Z2" s="805"/>
      <c r="AA2" s="805"/>
      <c r="AB2" s="457"/>
      <c r="AC2" s="297"/>
      <c r="AD2" s="297"/>
      <c r="AE2" s="297"/>
      <c r="AF2" s="297"/>
      <c r="AG2" s="297"/>
      <c r="AH2" s="457"/>
      <c r="AI2" s="297"/>
      <c r="AJ2" s="297"/>
      <c r="AK2" s="806" t="s">
        <v>26</v>
      </c>
      <c r="AL2" s="806"/>
      <c r="AM2" s="806"/>
      <c r="AN2" s="813">
        <f>AS1</f>
        <v>46230</v>
      </c>
      <c r="AO2" s="813"/>
      <c r="AP2" s="813"/>
      <c r="AQ2" s="814"/>
      <c r="AS2" s="363" t="s">
        <v>620</v>
      </c>
      <c r="AT2" s="363" t="s">
        <v>621</v>
      </c>
      <c r="AU2" s="363" t="s">
        <v>622</v>
      </c>
      <c r="AV2" s="305" t="s">
        <v>623</v>
      </c>
      <c r="AW2" s="364" t="s">
        <v>624</v>
      </c>
      <c r="AX2" s="364" t="s">
        <v>624</v>
      </c>
    </row>
    <row r="3" spans="1:60" ht="15.75" thickBot="1">
      <c r="A3" s="365"/>
      <c r="B3" s="299"/>
      <c r="C3" s="299"/>
      <c r="D3" s="458"/>
      <c r="E3" s="299"/>
      <c r="F3" s="299"/>
      <c r="G3" s="519"/>
      <c r="H3" s="520"/>
      <c r="I3" s="520"/>
      <c r="J3" s="521"/>
      <c r="K3" s="520"/>
      <c r="L3" s="520"/>
      <c r="M3" s="521"/>
      <c r="N3" s="520"/>
      <c r="O3" s="520"/>
      <c r="P3" s="521"/>
      <c r="Q3" s="520"/>
      <c r="R3" s="520"/>
      <c r="S3" s="521"/>
      <c r="T3" s="520"/>
      <c r="U3" s="520"/>
      <c r="V3" s="521"/>
      <c r="W3" s="520"/>
      <c r="X3" s="520"/>
      <c r="Y3" s="521"/>
      <c r="Z3" s="520"/>
      <c r="AA3" s="520"/>
      <c r="AB3" s="521"/>
      <c r="AC3" s="520"/>
      <c r="AD3" s="520"/>
      <c r="AE3" s="520"/>
      <c r="AF3" s="520"/>
      <c r="AG3" s="520"/>
      <c r="AH3" s="522"/>
      <c r="AI3" s="523"/>
      <c r="AJ3" s="523"/>
      <c r="AK3" s="522"/>
      <c r="AL3" s="523"/>
      <c r="AM3" s="523"/>
      <c r="AN3" s="522"/>
      <c r="AO3" s="523"/>
      <c r="AP3" s="523"/>
      <c r="AQ3" s="524"/>
    </row>
    <row r="4" spans="1:60">
      <c r="A4" s="365"/>
      <c r="G4" s="525"/>
      <c r="H4" s="807" t="s">
        <v>757</v>
      </c>
      <c r="I4" s="808"/>
      <c r="J4" s="526"/>
      <c r="K4" s="527"/>
      <c r="L4" s="527"/>
      <c r="M4" s="528"/>
      <c r="N4" s="527"/>
      <c r="O4" s="527"/>
      <c r="P4" s="526"/>
      <c r="Q4" s="527"/>
      <c r="R4" s="527"/>
      <c r="S4" s="526"/>
      <c r="T4" s="527"/>
      <c r="U4" s="527"/>
      <c r="V4" s="526"/>
      <c r="W4" s="527"/>
      <c r="X4" s="527"/>
      <c r="Y4" s="526"/>
      <c r="Z4" s="527"/>
      <c r="AA4" s="527"/>
      <c r="AB4" s="526"/>
      <c r="AC4" s="527"/>
      <c r="AD4" s="527"/>
      <c r="AE4" s="527"/>
      <c r="AF4" s="527"/>
      <c r="AG4" s="527"/>
      <c r="AH4" s="526"/>
      <c r="AI4" s="527"/>
      <c r="AJ4" s="527"/>
      <c r="AK4" s="526"/>
      <c r="AL4" s="527"/>
      <c r="AM4" s="527"/>
      <c r="AN4" s="526"/>
      <c r="AO4" s="527"/>
      <c r="AP4" s="527"/>
      <c r="AQ4" s="529"/>
    </row>
    <row r="5" spans="1:60" ht="14.45" customHeight="1">
      <c r="A5" s="366"/>
      <c r="B5" s="554"/>
      <c r="C5" s="554"/>
      <c r="D5" s="554"/>
      <c r="G5" s="530"/>
      <c r="H5" s="809"/>
      <c r="I5" s="810"/>
      <c r="J5" s="528"/>
      <c r="K5" s="798"/>
      <c r="L5" s="798"/>
      <c r="M5" s="528"/>
      <c r="N5" s="798"/>
      <c r="O5" s="798"/>
      <c r="P5" s="528"/>
      <c r="Q5" s="798"/>
      <c r="R5" s="798"/>
      <c r="S5" s="528"/>
      <c r="T5" s="798"/>
      <c r="U5" s="798"/>
      <c r="V5" s="528"/>
      <c r="W5" s="798"/>
      <c r="X5" s="798"/>
      <c r="Y5" s="528"/>
      <c r="Z5" s="799"/>
      <c r="AA5" s="799"/>
      <c r="AB5" s="528"/>
      <c r="AC5" s="798"/>
      <c r="AD5" s="798"/>
      <c r="AE5" s="531"/>
      <c r="AF5" s="798"/>
      <c r="AG5" s="798"/>
      <c r="AH5" s="528"/>
      <c r="AI5" s="798"/>
      <c r="AJ5" s="798"/>
      <c r="AK5" s="528"/>
      <c r="AL5" s="798"/>
      <c r="AM5" s="798"/>
      <c r="AN5" s="528"/>
      <c r="AO5" s="798"/>
      <c r="AP5" s="798"/>
      <c r="AQ5" s="532"/>
    </row>
    <row r="6" spans="1:60" ht="15.75" customHeight="1">
      <c r="A6" s="366"/>
      <c r="B6" s="554"/>
      <c r="C6" s="554"/>
      <c r="D6" s="554"/>
      <c r="G6" s="533"/>
      <c r="H6" s="809"/>
      <c r="I6" s="810"/>
      <c r="J6" s="534"/>
      <c r="K6" s="518"/>
      <c r="L6" s="518"/>
      <c r="M6" s="534"/>
      <c r="N6" s="518"/>
      <c r="O6" s="518"/>
      <c r="P6" s="534"/>
      <c r="Q6" s="518"/>
      <c r="R6" s="518"/>
      <c r="S6" s="534"/>
      <c r="T6" s="518"/>
      <c r="U6" s="518"/>
      <c r="V6" s="534"/>
      <c r="W6" s="518"/>
      <c r="X6" s="518"/>
      <c r="Y6" s="534"/>
      <c r="Z6" s="518"/>
      <c r="AA6" s="518"/>
      <c r="AB6" s="534"/>
      <c r="AC6" s="518"/>
      <c r="AD6" s="518"/>
      <c r="AE6" s="535"/>
      <c r="AF6" s="367"/>
      <c r="AG6" s="367"/>
      <c r="AH6" s="534"/>
      <c r="AI6" s="367"/>
      <c r="AJ6" s="367"/>
      <c r="AK6" s="534"/>
      <c r="AL6" s="367"/>
      <c r="AM6" s="367"/>
      <c r="AN6" s="534"/>
      <c r="AO6" s="367"/>
      <c r="AP6" s="367"/>
      <c r="AQ6" s="536"/>
      <c r="AS6" s="281">
        <v>4</v>
      </c>
      <c r="AT6" s="281">
        <v>4</v>
      </c>
      <c r="AU6" s="281"/>
      <c r="AV6" s="281"/>
      <c r="AW6" s="281"/>
      <c r="AX6" s="281"/>
    </row>
    <row r="7" spans="1:60" ht="15.75" thickBot="1">
      <c r="A7" s="366"/>
      <c r="B7" s="554"/>
      <c r="C7" s="554"/>
      <c r="D7" s="554"/>
      <c r="G7" s="533"/>
      <c r="H7" s="811"/>
      <c r="I7" s="812"/>
      <c r="J7" s="534"/>
      <c r="K7" s="518"/>
      <c r="L7" s="518"/>
      <c r="M7" s="534"/>
      <c r="N7" s="518"/>
      <c r="O7" s="518"/>
      <c r="P7" s="534"/>
      <c r="Q7" s="518"/>
      <c r="R7" s="518"/>
      <c r="S7" s="534"/>
      <c r="T7" s="518"/>
      <c r="U7" s="518"/>
      <c r="V7" s="534"/>
      <c r="W7" s="518"/>
      <c r="X7" s="518"/>
      <c r="Y7" s="534"/>
      <c r="Z7" s="518"/>
      <c r="AA7" s="518"/>
      <c r="AB7" s="534"/>
      <c r="AC7" s="518"/>
      <c r="AD7" s="518"/>
      <c r="AE7" s="535"/>
      <c r="AF7" s="367"/>
      <c r="AG7" s="367"/>
      <c r="AH7" s="534"/>
      <c r="AI7" s="367"/>
      <c r="AJ7" s="367"/>
      <c r="AK7" s="534"/>
      <c r="AL7" s="367"/>
      <c r="AM7" s="367"/>
      <c r="AN7" s="534"/>
      <c r="AO7" s="367"/>
      <c r="AP7" s="367"/>
      <c r="AQ7" s="532"/>
    </row>
    <row r="8" spans="1:60" s="299" customFormat="1">
      <c r="A8" s="366"/>
      <c r="B8" s="745"/>
      <c r="C8" s="745"/>
      <c r="D8" s="459"/>
      <c r="E8" s="745"/>
      <c r="F8" s="745"/>
      <c r="G8" s="533"/>
      <c r="H8" s="531"/>
      <c r="I8" s="531"/>
      <c r="J8" s="537">
        <v>58.79</v>
      </c>
      <c r="K8" s="537"/>
      <c r="L8" s="528"/>
      <c r="M8" s="537">
        <v>149.12</v>
      </c>
      <c r="N8" s="528"/>
      <c r="O8" s="537"/>
      <c r="P8" s="537">
        <v>128.1</v>
      </c>
      <c r="Q8" s="537"/>
      <c r="R8" s="528"/>
      <c r="S8" s="537">
        <v>252.72</v>
      </c>
      <c r="T8" s="528"/>
      <c r="U8" s="537"/>
      <c r="V8" s="537">
        <v>146.74</v>
      </c>
      <c r="W8" s="537"/>
      <c r="X8" s="528"/>
      <c r="Y8" s="537">
        <v>190.05</v>
      </c>
      <c r="Z8" s="528"/>
      <c r="AA8" s="528"/>
      <c r="AB8" s="537">
        <v>83.39</v>
      </c>
      <c r="AC8" s="528"/>
      <c r="AD8" s="528"/>
      <c r="AE8" s="538">
        <v>120.53</v>
      </c>
      <c r="AF8" s="799"/>
      <c r="AG8" s="799"/>
      <c r="AH8" s="537">
        <v>259.51</v>
      </c>
      <c r="AI8" s="537"/>
      <c r="AJ8" s="531"/>
      <c r="AK8" s="537">
        <v>256.61</v>
      </c>
      <c r="AL8" s="531"/>
      <c r="AM8" s="537"/>
      <c r="AN8" s="537">
        <v>277.95</v>
      </c>
      <c r="AO8" s="537"/>
      <c r="AP8" s="531"/>
      <c r="AQ8" s="539">
        <v>202.25</v>
      </c>
    </row>
    <row r="9" spans="1:60" ht="14.45" customHeight="1">
      <c r="A9" s="366"/>
      <c r="B9" s="745"/>
      <c r="C9" s="745"/>
      <c r="D9" s="458"/>
      <c r="E9" s="745"/>
      <c r="F9" s="745"/>
      <c r="G9" s="530"/>
      <c r="H9" s="795"/>
      <c r="I9" s="795"/>
      <c r="J9" s="526"/>
      <c r="K9" s="795" t="s">
        <v>756</v>
      </c>
      <c r="L9" s="795"/>
      <c r="M9" s="526"/>
      <c r="N9" s="795" t="s">
        <v>755</v>
      </c>
      <c r="O9" s="795"/>
      <c r="P9" s="526"/>
      <c r="Q9" s="795" t="s">
        <v>754</v>
      </c>
      <c r="R9" s="795"/>
      <c r="S9" s="526"/>
      <c r="T9" s="795" t="s">
        <v>753</v>
      </c>
      <c r="U9" s="795"/>
      <c r="V9" s="526"/>
      <c r="W9" s="795" t="s">
        <v>752</v>
      </c>
      <c r="X9" s="795"/>
      <c r="Y9" s="526"/>
      <c r="Z9" s="795" t="s">
        <v>751</v>
      </c>
      <c r="AA9" s="795"/>
      <c r="AB9" s="526"/>
      <c r="AC9" s="795" t="s">
        <v>750</v>
      </c>
      <c r="AD9" s="795"/>
      <c r="AE9" s="527"/>
      <c r="AF9" s="799" t="s">
        <v>733</v>
      </c>
      <c r="AG9" s="799"/>
      <c r="AH9" s="531"/>
      <c r="AI9" s="799" t="s">
        <v>709</v>
      </c>
      <c r="AJ9" s="799"/>
      <c r="AK9" s="531"/>
      <c r="AL9" s="799" t="s">
        <v>749</v>
      </c>
      <c r="AM9" s="799"/>
      <c r="AN9" s="531"/>
      <c r="AO9" s="799" t="s">
        <v>713</v>
      </c>
      <c r="AP9" s="799"/>
      <c r="AQ9" s="529"/>
    </row>
    <row r="10" spans="1:60" ht="14.45" customHeight="1" thickBot="1">
      <c r="A10" s="366"/>
      <c r="B10" s="299"/>
      <c r="C10" s="299"/>
      <c r="D10" s="458"/>
      <c r="E10" s="299"/>
      <c r="F10" s="299"/>
      <c r="G10" s="540"/>
      <c r="H10" s="796"/>
      <c r="I10" s="796"/>
      <c r="J10" s="541"/>
      <c r="K10" s="796"/>
      <c r="L10" s="796"/>
      <c r="M10" s="541"/>
      <c r="N10" s="796"/>
      <c r="O10" s="796"/>
      <c r="P10" s="541"/>
      <c r="Q10" s="796"/>
      <c r="R10" s="796"/>
      <c r="S10" s="541"/>
      <c r="T10" s="796"/>
      <c r="U10" s="796"/>
      <c r="V10" s="541"/>
      <c r="W10" s="796"/>
      <c r="X10" s="796"/>
      <c r="Y10" s="541"/>
      <c r="Z10" s="796"/>
      <c r="AA10" s="796"/>
      <c r="AB10" s="541"/>
      <c r="AC10" s="796"/>
      <c r="AD10" s="796"/>
      <c r="AE10" s="542"/>
      <c r="AF10" s="794" t="s">
        <v>54</v>
      </c>
      <c r="AG10" s="794"/>
      <c r="AH10" s="541"/>
      <c r="AI10" s="794" t="s">
        <v>54</v>
      </c>
      <c r="AJ10" s="794"/>
      <c r="AK10" s="541"/>
      <c r="AL10" s="794" t="s">
        <v>54</v>
      </c>
      <c r="AM10" s="794"/>
      <c r="AN10" s="541"/>
      <c r="AO10" s="794" t="s">
        <v>34</v>
      </c>
      <c r="AP10" s="794"/>
      <c r="AQ10" s="544"/>
    </row>
    <row r="11" spans="1:60" ht="15.75" thickBot="1">
      <c r="A11" s="366"/>
      <c r="B11" s="299"/>
      <c r="C11" s="299"/>
      <c r="E11" s="360"/>
      <c r="G11" s="462"/>
      <c r="I11" s="360"/>
      <c r="K11" s="360"/>
      <c r="M11" s="462"/>
      <c r="O11" s="360"/>
      <c r="Q11" s="360"/>
      <c r="S11" s="462"/>
      <c r="U11" s="360"/>
      <c r="W11" s="360"/>
      <c r="Y11" s="462"/>
      <c r="AA11" s="360"/>
      <c r="AC11" s="517"/>
      <c r="AD11" s="517"/>
      <c r="AE11" s="360"/>
      <c r="AH11" s="275"/>
      <c r="AK11" s="275"/>
      <c r="AN11" s="275"/>
      <c r="AQ11" s="470"/>
      <c r="AS11" s="360"/>
      <c r="AU11" s="360"/>
      <c r="AW11" s="360"/>
      <c r="AX11" s="360"/>
      <c r="AZ11" s="360"/>
      <c r="BB11" s="360"/>
      <c r="BD11" s="360"/>
      <c r="BF11" s="360"/>
      <c r="BH11" s="360"/>
    </row>
    <row r="12" spans="1:60">
      <c r="A12" s="366"/>
      <c r="B12" s="549"/>
      <c r="C12" s="520"/>
      <c r="D12" s="521"/>
      <c r="E12" s="873" t="s">
        <v>748</v>
      </c>
      <c r="F12" s="874"/>
      <c r="G12" s="521"/>
      <c r="H12" s="520"/>
      <c r="I12" s="520"/>
      <c r="J12" s="521"/>
      <c r="K12" s="520"/>
      <c r="L12" s="520"/>
      <c r="M12" s="521"/>
      <c r="N12" s="520"/>
      <c r="O12" s="520"/>
      <c r="P12" s="550"/>
      <c r="Q12" s="299"/>
      <c r="R12" s="299"/>
      <c r="S12" s="458"/>
      <c r="T12" s="299"/>
      <c r="U12" s="299"/>
      <c r="V12" s="458"/>
      <c r="W12" s="299"/>
      <c r="X12" s="299"/>
      <c r="Y12" s="458"/>
      <c r="Z12" s="299"/>
      <c r="AA12" s="299"/>
      <c r="AC12" s="299"/>
      <c r="AD12" s="299"/>
      <c r="AF12" s="299"/>
      <c r="AG12" s="299"/>
      <c r="AH12" s="458"/>
      <c r="AI12" s="299"/>
      <c r="AJ12" s="299"/>
      <c r="AK12" s="458"/>
      <c r="AL12" s="299"/>
      <c r="AM12" s="299"/>
      <c r="AN12" s="458"/>
      <c r="AO12" s="299"/>
      <c r="AP12" s="299"/>
      <c r="AQ12" s="467"/>
    </row>
    <row r="13" spans="1:60">
      <c r="A13" s="366"/>
      <c r="B13" s="817"/>
      <c r="C13" s="798"/>
      <c r="D13" s="528"/>
      <c r="E13" s="875"/>
      <c r="F13" s="876"/>
      <c r="G13" s="528"/>
      <c r="H13" s="798"/>
      <c r="I13" s="798"/>
      <c r="J13" s="528"/>
      <c r="K13" s="798"/>
      <c r="L13" s="798"/>
      <c r="M13" s="528"/>
      <c r="N13" s="798"/>
      <c r="O13" s="798"/>
      <c r="P13" s="532"/>
      <c r="Q13" s="797"/>
      <c r="R13" s="797"/>
      <c r="S13" s="458"/>
      <c r="T13" s="797"/>
      <c r="U13" s="797"/>
      <c r="V13" s="458"/>
      <c r="W13" s="797"/>
      <c r="X13" s="797"/>
      <c r="Y13" s="458"/>
      <c r="Z13" s="797"/>
      <c r="AA13" s="797"/>
      <c r="AB13" s="458"/>
      <c r="AC13" s="745"/>
      <c r="AD13" s="745"/>
      <c r="AE13" s="299"/>
      <c r="AF13" s="797"/>
      <c r="AG13" s="797"/>
      <c r="AH13" s="458"/>
      <c r="AI13" s="797"/>
      <c r="AJ13" s="797"/>
      <c r="AK13" s="458"/>
      <c r="AL13" s="797"/>
      <c r="AM13" s="797"/>
      <c r="AN13" s="458"/>
      <c r="AO13" s="797"/>
      <c r="AP13" s="797"/>
      <c r="AQ13" s="467"/>
    </row>
    <row r="14" spans="1:60">
      <c r="A14" s="366"/>
      <c r="B14" s="367"/>
      <c r="C14" s="367"/>
      <c r="D14" s="534"/>
      <c r="E14" s="875"/>
      <c r="F14" s="876"/>
      <c r="G14" s="534"/>
      <c r="H14" s="367"/>
      <c r="I14" s="367"/>
      <c r="J14" s="534"/>
      <c r="K14" s="367"/>
      <c r="L14" s="367"/>
      <c r="M14" s="534"/>
      <c r="N14" s="367"/>
      <c r="O14" s="367"/>
      <c r="P14" s="536"/>
      <c r="Q14" s="548"/>
      <c r="R14" s="367"/>
      <c r="S14" s="459"/>
      <c r="T14" s="367"/>
      <c r="U14" s="367"/>
      <c r="V14" s="459"/>
      <c r="W14" s="367"/>
      <c r="X14" s="367"/>
      <c r="Y14" s="459"/>
      <c r="Z14" s="367"/>
      <c r="AA14" s="367"/>
      <c r="AB14" s="459"/>
      <c r="AC14" s="367"/>
      <c r="AD14" s="367"/>
      <c r="AE14" s="300"/>
      <c r="AF14" s="367"/>
      <c r="AG14" s="367"/>
      <c r="AH14" s="459"/>
      <c r="AI14" s="367"/>
      <c r="AJ14" s="367"/>
      <c r="AK14" s="459"/>
      <c r="AL14" s="367"/>
      <c r="AM14" s="367"/>
      <c r="AN14" s="459"/>
      <c r="AO14" s="367"/>
      <c r="AP14" s="367"/>
      <c r="AQ14" s="468"/>
      <c r="AS14" s="281">
        <v>13</v>
      </c>
      <c r="AT14" s="281">
        <v>13</v>
      </c>
      <c r="AU14" s="281">
        <v>12</v>
      </c>
      <c r="AV14" s="281">
        <v>12</v>
      </c>
      <c r="AW14" s="281">
        <f>(SUM(G16:AQ16))/1000</f>
        <v>2.6153899999999997</v>
      </c>
      <c r="AX14" s="281">
        <f>(SUM(G16:AQ16))/1000</f>
        <v>2.6153899999999997</v>
      </c>
    </row>
    <row r="15" spans="1:60" ht="15.75" thickBot="1">
      <c r="A15" s="366"/>
      <c r="B15" s="367"/>
      <c r="C15" s="367"/>
      <c r="D15" s="528"/>
      <c r="E15" s="877"/>
      <c r="F15" s="878"/>
      <c r="G15" s="534"/>
      <c r="H15" s="367"/>
      <c r="I15" s="367"/>
      <c r="J15" s="534"/>
      <c r="K15" s="367"/>
      <c r="L15" s="367"/>
      <c r="M15" s="528"/>
      <c r="N15" s="367"/>
      <c r="O15" s="367"/>
      <c r="P15" s="536"/>
      <c r="Q15" s="548"/>
      <c r="R15" s="367"/>
      <c r="S15" s="459"/>
      <c r="T15" s="367"/>
      <c r="U15" s="367"/>
      <c r="V15" s="459"/>
      <c r="W15" s="375"/>
      <c r="X15" s="375"/>
      <c r="Y15" s="459"/>
      <c r="Z15" s="367"/>
      <c r="AA15" s="367"/>
      <c r="AB15" s="459"/>
      <c r="AC15" s="367"/>
      <c r="AD15" s="367"/>
      <c r="AE15" s="300"/>
      <c r="AF15" s="367"/>
      <c r="AG15" s="367"/>
      <c r="AH15" s="459"/>
      <c r="AI15" s="367"/>
      <c r="AJ15" s="367"/>
      <c r="AK15" s="458"/>
      <c r="AL15" s="367"/>
      <c r="AM15" s="367"/>
      <c r="AN15" s="459"/>
      <c r="AO15" s="367"/>
      <c r="AP15" s="367"/>
      <c r="AQ15" s="467"/>
      <c r="BE15" s="400"/>
    </row>
    <row r="16" spans="1:60" s="299" customFormat="1">
      <c r="A16" s="366"/>
      <c r="B16" s="545"/>
      <c r="C16" s="531"/>
      <c r="D16" s="546">
        <v>62.76</v>
      </c>
      <c r="E16" s="531"/>
      <c r="F16" s="531"/>
      <c r="G16" s="531">
        <v>48</v>
      </c>
      <c r="H16" s="531"/>
      <c r="I16" s="531"/>
      <c r="J16" s="547">
        <v>230.15</v>
      </c>
      <c r="K16" s="531"/>
      <c r="L16" s="531"/>
      <c r="M16" s="547">
        <v>234.56</v>
      </c>
      <c r="N16" s="531"/>
      <c r="O16" s="531"/>
      <c r="P16" s="551">
        <v>249.04</v>
      </c>
      <c r="S16" s="460">
        <v>256</v>
      </c>
      <c r="V16" s="460">
        <v>226.52</v>
      </c>
      <c r="Y16" s="460">
        <v>43.62</v>
      </c>
      <c r="AB16" s="460">
        <v>52</v>
      </c>
      <c r="AE16" s="361">
        <v>47.06</v>
      </c>
      <c r="AH16" s="460">
        <v>286.44</v>
      </c>
      <c r="AK16" s="460">
        <v>317</v>
      </c>
      <c r="AN16" s="460">
        <v>328</v>
      </c>
      <c r="AQ16" s="469">
        <v>297</v>
      </c>
    </row>
    <row r="17" spans="1:50">
      <c r="A17" s="366"/>
      <c r="B17" s="879" t="s">
        <v>714</v>
      </c>
      <c r="C17" s="799"/>
      <c r="D17" s="526"/>
      <c r="E17" s="527"/>
      <c r="F17" s="527"/>
      <c r="G17" s="526"/>
      <c r="H17" s="815" t="s">
        <v>38</v>
      </c>
      <c r="I17" s="815"/>
      <c r="J17" s="526"/>
      <c r="K17" s="799" t="s">
        <v>64</v>
      </c>
      <c r="L17" s="799"/>
      <c r="M17" s="526"/>
      <c r="N17" s="800" t="s">
        <v>344</v>
      </c>
      <c r="O17" s="800"/>
      <c r="P17" s="529"/>
      <c r="Q17" s="745" t="s">
        <v>67</v>
      </c>
      <c r="R17" s="745"/>
      <c r="T17" s="753" t="s">
        <v>310</v>
      </c>
      <c r="U17" s="753"/>
      <c r="W17" s="745" t="s">
        <v>69</v>
      </c>
      <c r="X17" s="745"/>
      <c r="Z17" s="801" t="s">
        <v>71</v>
      </c>
      <c r="AA17" s="753"/>
      <c r="AC17" s="801" t="s">
        <v>72</v>
      </c>
      <c r="AD17" s="753"/>
      <c r="AF17" s="801" t="s">
        <v>93</v>
      </c>
      <c r="AG17" s="745"/>
      <c r="AI17" s="753" t="s">
        <v>104</v>
      </c>
      <c r="AJ17" s="745"/>
      <c r="AL17" s="801" t="s">
        <v>696</v>
      </c>
      <c r="AM17" s="745"/>
      <c r="AO17" s="753" t="s">
        <v>697</v>
      </c>
      <c r="AP17" s="745"/>
    </row>
    <row r="18" spans="1:50" ht="15.75" thickBot="1">
      <c r="A18" s="366"/>
      <c r="B18" s="880" t="s">
        <v>34</v>
      </c>
      <c r="C18" s="794"/>
      <c r="D18" s="552"/>
      <c r="E18" s="543"/>
      <c r="F18" s="543"/>
      <c r="G18" s="552"/>
      <c r="H18" s="794" t="s">
        <v>34</v>
      </c>
      <c r="I18" s="794"/>
      <c r="J18" s="552"/>
      <c r="K18" s="794" t="s">
        <v>34</v>
      </c>
      <c r="L18" s="794"/>
      <c r="M18" s="552"/>
      <c r="N18" s="794" t="s">
        <v>62</v>
      </c>
      <c r="O18" s="794"/>
      <c r="P18" s="553"/>
      <c r="Q18" s="745" t="s">
        <v>34</v>
      </c>
      <c r="R18" s="745"/>
      <c r="S18" s="458"/>
      <c r="T18" s="745" t="s">
        <v>37</v>
      </c>
      <c r="U18" s="745"/>
      <c r="V18" s="458"/>
      <c r="W18" s="745" t="s">
        <v>34</v>
      </c>
      <c r="X18" s="745"/>
      <c r="Y18" s="458"/>
      <c r="Z18" s="745" t="s">
        <v>625</v>
      </c>
      <c r="AA18" s="745"/>
      <c r="AB18" s="458"/>
      <c r="AC18" s="745" t="s">
        <v>625</v>
      </c>
      <c r="AD18" s="745"/>
      <c r="AE18" s="299"/>
      <c r="AF18" s="745" t="s">
        <v>34</v>
      </c>
      <c r="AG18" s="745"/>
      <c r="AH18" s="458"/>
      <c r="AI18" s="745" t="s">
        <v>51</v>
      </c>
      <c r="AJ18" s="745"/>
      <c r="AK18" s="458"/>
      <c r="AL18" s="745" t="s">
        <v>56</v>
      </c>
      <c r="AM18" s="745"/>
      <c r="AN18" s="458"/>
      <c r="AO18" s="745" t="s">
        <v>56</v>
      </c>
      <c r="AP18" s="745"/>
      <c r="AQ18" s="467"/>
    </row>
    <row r="19" spans="1:50">
      <c r="A19" s="366"/>
      <c r="B19" s="299"/>
      <c r="C19" s="299"/>
      <c r="D19" s="458"/>
      <c r="E19" s="299"/>
      <c r="F19" s="299"/>
      <c r="G19" s="458"/>
      <c r="H19" s="299"/>
      <c r="I19" s="299"/>
      <c r="J19" s="458"/>
      <c r="K19" s="299"/>
      <c r="L19" s="299"/>
      <c r="M19" s="458"/>
      <c r="N19" s="299"/>
      <c r="O19" s="299"/>
      <c r="P19" s="458"/>
      <c r="Q19" s="299"/>
      <c r="R19" s="299"/>
      <c r="S19" s="458"/>
      <c r="T19" s="299"/>
      <c r="U19" s="299"/>
      <c r="V19" s="458"/>
      <c r="W19" s="299"/>
      <c r="X19" s="299"/>
      <c r="Y19" s="458"/>
      <c r="Z19" s="299"/>
      <c r="AA19" s="299"/>
      <c r="AB19" s="458"/>
      <c r="AC19" s="299"/>
      <c r="AD19" s="299"/>
      <c r="AE19" s="299"/>
      <c r="AF19" s="299"/>
      <c r="AG19" s="299"/>
      <c r="AH19" s="458"/>
      <c r="AI19" s="299"/>
      <c r="AJ19" s="299"/>
      <c r="AK19" s="458"/>
      <c r="AL19" s="299"/>
      <c r="AM19" s="299"/>
      <c r="AN19" s="458"/>
      <c r="AO19" s="299"/>
      <c r="AP19" s="299"/>
      <c r="AQ19" s="467"/>
    </row>
    <row r="20" spans="1:50">
      <c r="A20" s="366"/>
      <c r="B20" s="299"/>
      <c r="C20" s="299"/>
      <c r="D20" s="458"/>
      <c r="E20" s="299"/>
      <c r="F20" s="299"/>
      <c r="G20" s="458"/>
      <c r="H20" s="299"/>
      <c r="I20" s="299"/>
      <c r="J20" s="458"/>
      <c r="K20" s="299"/>
      <c r="L20" s="299"/>
      <c r="M20" s="458"/>
      <c r="N20" s="299"/>
      <c r="O20" s="299"/>
      <c r="P20" s="458"/>
      <c r="Q20" s="299"/>
      <c r="R20" s="299"/>
      <c r="S20" s="458"/>
      <c r="T20" s="299"/>
      <c r="U20" s="299"/>
      <c r="V20" s="458"/>
      <c r="W20" s="299"/>
      <c r="X20" s="299"/>
      <c r="Y20" s="458"/>
      <c r="Z20" s="299"/>
      <c r="AA20" s="299"/>
      <c r="AB20" s="458"/>
      <c r="AC20" s="299"/>
      <c r="AD20" s="299"/>
      <c r="AE20" s="299"/>
      <c r="AF20" s="299"/>
      <c r="AG20" s="299"/>
      <c r="AI20" s="299"/>
      <c r="AJ20" s="299"/>
      <c r="AK20" s="458"/>
      <c r="AL20" s="299"/>
      <c r="AM20" s="299"/>
      <c r="AN20" s="458"/>
      <c r="AO20" s="299"/>
      <c r="AP20" s="299"/>
      <c r="AQ20" s="467"/>
    </row>
    <row r="21" spans="1:50">
      <c r="A21" s="366"/>
      <c r="B21" s="797"/>
      <c r="C21" s="797"/>
      <c r="D21" s="458"/>
      <c r="E21" s="797"/>
      <c r="F21" s="797"/>
      <c r="G21" s="458"/>
      <c r="H21" s="797"/>
      <c r="I21" s="797"/>
      <c r="J21" s="458"/>
      <c r="K21" s="797"/>
      <c r="L21" s="797"/>
      <c r="M21" s="458"/>
      <c r="N21" s="797"/>
      <c r="O21" s="797"/>
      <c r="P21" s="458"/>
      <c r="Q21" s="797"/>
      <c r="R21" s="797"/>
      <c r="S21" s="458"/>
      <c r="T21" s="797"/>
      <c r="U21" s="797"/>
      <c r="V21" s="458"/>
      <c r="W21" s="797"/>
      <c r="X21" s="797"/>
      <c r="Y21" s="458"/>
      <c r="Z21" s="745"/>
      <c r="AA21" s="745"/>
      <c r="AB21" s="458"/>
      <c r="AC21" s="745"/>
      <c r="AD21" s="745"/>
      <c r="AE21" s="299"/>
      <c r="AF21" s="745"/>
      <c r="AG21" s="745"/>
      <c r="AH21" s="458"/>
      <c r="AI21" s="745"/>
      <c r="AJ21" s="745"/>
      <c r="AK21" s="458"/>
      <c r="AL21" s="745"/>
      <c r="AM21" s="745"/>
      <c r="AN21" s="458"/>
      <c r="AO21" s="745"/>
      <c r="AP21" s="745"/>
      <c r="AQ21" s="467"/>
    </row>
    <row r="22" spans="1:50">
      <c r="A22" s="366"/>
      <c r="B22" s="367"/>
      <c r="C22" s="367"/>
      <c r="D22" s="459"/>
      <c r="E22" s="368"/>
      <c r="F22" s="368"/>
      <c r="G22" s="459"/>
      <c r="H22" s="367"/>
      <c r="I22" s="367"/>
      <c r="J22" s="459"/>
      <c r="K22" s="368"/>
      <c r="L22" s="368"/>
      <c r="M22" s="459"/>
      <c r="N22" s="367"/>
      <c r="O22" s="367"/>
      <c r="P22" s="459"/>
      <c r="Q22" s="367"/>
      <c r="R22" s="367"/>
      <c r="S22" s="459"/>
      <c r="T22" s="367"/>
      <c r="U22" s="367"/>
      <c r="V22" s="459"/>
      <c r="W22" s="367"/>
      <c r="X22" s="367"/>
      <c r="Y22" s="459"/>
      <c r="Z22" s="510"/>
      <c r="AA22" s="510"/>
      <c r="AB22" s="459"/>
      <c r="AC22" s="367"/>
      <c r="AD22" s="367"/>
      <c r="AE22" s="300"/>
      <c r="AF22" s="367"/>
      <c r="AG22" s="367"/>
      <c r="AH22" s="459"/>
      <c r="AI22" s="367"/>
      <c r="AJ22" s="367"/>
      <c r="AK22" s="459"/>
      <c r="AL22" s="367"/>
      <c r="AM22" s="367"/>
      <c r="AN22" s="459"/>
      <c r="AO22" s="367"/>
      <c r="AP22" s="367"/>
      <c r="AQ22" s="468"/>
      <c r="AS22" s="281">
        <v>14</v>
      </c>
      <c r="AT22" s="281">
        <v>14</v>
      </c>
      <c r="AU22" s="281">
        <v>14</v>
      </c>
      <c r="AV22" s="281">
        <v>14</v>
      </c>
      <c r="AW22" s="281">
        <f>((SUM(D24:AQ24))-(S24))/1000</f>
        <v>3.0270999999999995</v>
      </c>
      <c r="AX22" s="281">
        <f>((SUM(D24:AQ24))-(S24))/1000</f>
        <v>3.0270999999999995</v>
      </c>
    </row>
    <row r="23" spans="1:50">
      <c r="A23" s="366"/>
      <c r="B23" s="367"/>
      <c r="C23" s="367"/>
      <c r="D23" s="459"/>
      <c r="E23" s="368"/>
      <c r="F23" s="368"/>
      <c r="G23" s="459"/>
      <c r="H23" s="367"/>
      <c r="I23" s="367"/>
      <c r="J23" s="459"/>
      <c r="K23" s="368"/>
      <c r="L23" s="368"/>
      <c r="M23" s="459"/>
      <c r="N23" s="367"/>
      <c r="O23" s="367"/>
      <c r="P23" s="458"/>
      <c r="Q23" s="367"/>
      <c r="R23" s="367"/>
      <c r="S23" s="458"/>
      <c r="T23" s="367"/>
      <c r="U23" s="367"/>
      <c r="V23" s="459"/>
      <c r="W23" s="367"/>
      <c r="X23" s="367"/>
      <c r="Y23" s="459"/>
      <c r="Z23" s="510"/>
      <c r="AA23" s="510"/>
      <c r="AB23" s="459"/>
      <c r="AC23" s="367"/>
      <c r="AD23" s="367"/>
      <c r="AF23" s="367"/>
      <c r="AG23" s="367"/>
      <c r="AH23" s="458"/>
      <c r="AI23" s="367"/>
      <c r="AJ23" s="367"/>
      <c r="AK23" s="459"/>
      <c r="AL23" s="367"/>
      <c r="AM23" s="367"/>
      <c r="AN23" s="459"/>
      <c r="AO23" s="375"/>
      <c r="AP23" s="367"/>
      <c r="AQ23" s="468"/>
    </row>
    <row r="24" spans="1:50" s="299" customFormat="1">
      <c r="A24" s="366"/>
      <c r="D24" s="460">
        <v>251</v>
      </c>
      <c r="G24" s="460">
        <v>308.23</v>
      </c>
      <c r="J24" s="460">
        <v>278.12</v>
      </c>
      <c r="M24" s="460">
        <v>385.96</v>
      </c>
      <c r="P24" s="460">
        <v>259.92</v>
      </c>
      <c r="S24" s="460">
        <v>215.13</v>
      </c>
      <c r="V24" s="460">
        <v>316.14999999999998</v>
      </c>
      <c r="Y24" s="460">
        <v>274</v>
      </c>
      <c r="AB24" s="460">
        <v>293.27999999999997</v>
      </c>
      <c r="AC24" s="818"/>
      <c r="AD24" s="818"/>
      <c r="AE24" s="361">
        <v>48.42</v>
      </c>
      <c r="AF24" s="818"/>
      <c r="AG24" s="818"/>
      <c r="AH24" s="460">
        <v>58.24</v>
      </c>
      <c r="AI24" s="818"/>
      <c r="AJ24" s="818"/>
      <c r="AK24" s="460">
        <v>70.13</v>
      </c>
      <c r="AL24" s="818"/>
      <c r="AM24" s="818"/>
      <c r="AN24" s="460">
        <v>220.7</v>
      </c>
      <c r="AO24" s="818"/>
      <c r="AP24" s="818"/>
      <c r="AQ24" s="469">
        <v>262.95</v>
      </c>
    </row>
    <row r="25" spans="1:50">
      <c r="A25" s="366"/>
      <c r="B25" s="753" t="s">
        <v>698</v>
      </c>
      <c r="C25" s="745"/>
      <c r="E25" s="753" t="s">
        <v>699</v>
      </c>
      <c r="F25" s="745"/>
      <c r="H25" s="753" t="s">
        <v>106</v>
      </c>
      <c r="I25" s="745"/>
      <c r="K25" s="816" t="s">
        <v>111</v>
      </c>
      <c r="L25" s="745"/>
      <c r="N25" s="753" t="s">
        <v>320</v>
      </c>
      <c r="O25" s="745"/>
      <c r="Q25" s="745" t="s">
        <v>322</v>
      </c>
      <c r="R25" s="745"/>
      <c r="T25" s="299" t="s">
        <v>324</v>
      </c>
      <c r="U25" s="299"/>
      <c r="W25" s="753" t="s">
        <v>326</v>
      </c>
      <c r="X25" s="753"/>
      <c r="Z25" s="753" t="s">
        <v>328</v>
      </c>
      <c r="AA25" s="753"/>
      <c r="AC25" s="745" t="s">
        <v>329</v>
      </c>
      <c r="AD25" s="745"/>
      <c r="AF25" s="753" t="s">
        <v>167</v>
      </c>
      <c r="AG25" s="753"/>
      <c r="AI25" s="753" t="s">
        <v>331</v>
      </c>
      <c r="AJ25" s="753"/>
      <c r="AL25" s="745" t="s">
        <v>332</v>
      </c>
      <c r="AM25" s="745"/>
      <c r="AO25" s="745" t="s">
        <v>334</v>
      </c>
      <c r="AP25" s="745"/>
    </row>
    <row r="26" spans="1:50">
      <c r="A26" s="366"/>
      <c r="B26" s="745" t="s">
        <v>37</v>
      </c>
      <c r="C26" s="745"/>
      <c r="D26" s="458"/>
      <c r="E26" s="745" t="s">
        <v>42</v>
      </c>
      <c r="F26" s="745"/>
      <c r="G26" s="458"/>
      <c r="H26" s="745" t="s">
        <v>34</v>
      </c>
      <c r="I26" s="745"/>
      <c r="J26" s="458"/>
      <c r="K26" s="745" t="s">
        <v>51</v>
      </c>
      <c r="L26" s="745"/>
      <c r="M26" s="458"/>
      <c r="N26" s="745" t="s">
        <v>51</v>
      </c>
      <c r="O26" s="745"/>
      <c r="P26" s="458"/>
      <c r="Q26" s="745" t="s">
        <v>62</v>
      </c>
      <c r="R26" s="745"/>
      <c r="S26" s="458"/>
      <c r="T26" s="745" t="s">
        <v>62</v>
      </c>
      <c r="U26" s="745"/>
      <c r="V26" s="458"/>
      <c r="W26" s="745" t="s">
        <v>34</v>
      </c>
      <c r="X26" s="745"/>
      <c r="Y26" s="458"/>
      <c r="Z26" s="745" t="s">
        <v>37</v>
      </c>
      <c r="AA26" s="745"/>
      <c r="AB26" s="458"/>
      <c r="AC26" s="745" t="s">
        <v>34</v>
      </c>
      <c r="AD26" s="745"/>
      <c r="AE26" s="299"/>
      <c r="AF26" s="745" t="s">
        <v>625</v>
      </c>
      <c r="AG26" s="745"/>
      <c r="AH26" s="458"/>
      <c r="AI26" s="745" t="s">
        <v>625</v>
      </c>
      <c r="AJ26" s="745"/>
      <c r="AK26" s="458"/>
      <c r="AL26" s="745" t="s">
        <v>62</v>
      </c>
      <c r="AM26" s="745"/>
      <c r="AN26" s="458"/>
      <c r="AO26" s="745" t="s">
        <v>51</v>
      </c>
      <c r="AP26" s="745"/>
      <c r="AQ26" s="467"/>
    </row>
    <row r="28" spans="1:50" ht="15.75" thickBot="1">
      <c r="A28" s="366"/>
      <c r="B28" s="299"/>
      <c r="C28" s="299"/>
      <c r="D28" s="458"/>
      <c r="E28" s="299"/>
      <c r="F28" s="299"/>
      <c r="G28" s="458"/>
      <c r="H28" s="299"/>
      <c r="I28" s="299"/>
      <c r="J28" s="458"/>
      <c r="K28" s="299"/>
      <c r="L28" s="299"/>
      <c r="M28" s="458"/>
      <c r="N28" s="299"/>
      <c r="O28" s="299"/>
      <c r="P28" s="458"/>
      <c r="Q28" s="299"/>
      <c r="R28" s="299"/>
      <c r="S28" s="458"/>
      <c r="T28" s="299"/>
      <c r="W28" s="299"/>
      <c r="X28" s="299"/>
      <c r="Y28" s="458"/>
      <c r="Z28" s="299"/>
      <c r="AA28" s="299"/>
      <c r="AB28" s="458"/>
      <c r="AC28" s="299"/>
      <c r="AD28" s="299"/>
      <c r="AE28" s="299"/>
      <c r="AF28" s="299"/>
      <c r="AG28" s="299"/>
      <c r="AH28" s="458"/>
      <c r="AI28" s="299"/>
      <c r="AJ28" s="299"/>
      <c r="AK28" s="458"/>
      <c r="AL28" s="299"/>
      <c r="AM28" s="299"/>
      <c r="AN28" s="458"/>
      <c r="AO28" s="299"/>
      <c r="AP28" s="299"/>
      <c r="AQ28" s="467"/>
    </row>
    <row r="29" spans="1:50" ht="16.5" customHeight="1">
      <c r="A29" s="366"/>
      <c r="B29" s="299"/>
      <c r="C29" s="299"/>
      <c r="D29" s="458"/>
      <c r="E29" s="299"/>
      <c r="F29" s="299"/>
      <c r="G29" s="458"/>
      <c r="H29" s="299"/>
      <c r="I29" s="299"/>
      <c r="J29" s="458"/>
      <c r="K29" s="299"/>
      <c r="L29" s="299"/>
      <c r="M29" s="458"/>
      <c r="N29" s="299"/>
      <c r="O29" s="299"/>
      <c r="P29" s="458"/>
      <c r="Q29" s="299"/>
      <c r="R29" s="299"/>
      <c r="S29" s="458"/>
      <c r="T29" s="299"/>
      <c r="U29" s="299"/>
      <c r="V29" s="458"/>
      <c r="W29" s="299"/>
      <c r="X29" s="299"/>
      <c r="Y29" s="458"/>
      <c r="Z29" s="864" t="s">
        <v>743</v>
      </c>
      <c r="AA29" s="865"/>
      <c r="AB29" s="866"/>
      <c r="AC29" s="299"/>
      <c r="AD29" s="299"/>
      <c r="AE29" s="299"/>
      <c r="AF29" s="299"/>
      <c r="AG29" s="299"/>
      <c r="AH29" s="458"/>
      <c r="AI29" s="299"/>
      <c r="AJ29" s="299"/>
      <c r="AK29" s="458"/>
      <c r="AL29" s="299"/>
      <c r="AM29" s="299"/>
      <c r="AN29" s="458"/>
      <c r="AO29" s="299"/>
      <c r="AP29" s="299"/>
      <c r="AQ29" s="467"/>
    </row>
    <row r="30" spans="1:50" ht="14.45" customHeight="1">
      <c r="A30" s="366"/>
      <c r="B30" s="367"/>
      <c r="C30" s="367"/>
      <c r="D30" s="458"/>
      <c r="E30" s="367"/>
      <c r="F30" s="367"/>
      <c r="G30" s="458"/>
      <c r="H30" s="367"/>
      <c r="I30" s="367"/>
      <c r="J30" s="458"/>
      <c r="K30" s="367"/>
      <c r="L30" s="367"/>
      <c r="M30" s="458"/>
      <c r="N30" s="367"/>
      <c r="O30" s="367"/>
      <c r="P30" s="458"/>
      <c r="Q30" s="367"/>
      <c r="R30" s="367"/>
      <c r="S30" s="458"/>
      <c r="T30" s="367"/>
      <c r="U30" s="367"/>
      <c r="V30" s="458"/>
      <c r="W30" s="367"/>
      <c r="X30" s="367"/>
      <c r="Y30" s="458"/>
      <c r="Z30" s="867"/>
      <c r="AA30" s="868"/>
      <c r="AB30" s="869"/>
      <c r="AC30" s="299"/>
      <c r="AD30" s="299"/>
      <c r="AE30" s="299"/>
      <c r="AF30" s="299"/>
      <c r="AG30" s="299"/>
      <c r="AH30" s="458"/>
      <c r="AI30" s="299"/>
      <c r="AJ30" s="299"/>
      <c r="AK30" s="458"/>
      <c r="AL30" s="299"/>
      <c r="AM30" s="299"/>
      <c r="AN30" s="458"/>
      <c r="AO30" s="299"/>
      <c r="AP30" s="299"/>
      <c r="AQ30" s="467"/>
    </row>
    <row r="31" spans="1:50" ht="15.75" thickBot="1">
      <c r="A31" s="366"/>
      <c r="B31" s="367"/>
      <c r="C31" s="367"/>
      <c r="D31" s="458"/>
      <c r="E31" s="367"/>
      <c r="F31" s="367"/>
      <c r="G31" s="458"/>
      <c r="H31" s="367"/>
      <c r="I31" s="367"/>
      <c r="J31" s="458"/>
      <c r="K31" s="367"/>
      <c r="L31" s="367"/>
      <c r="M31" s="458"/>
      <c r="N31" s="367"/>
      <c r="O31" s="367"/>
      <c r="P31" s="458"/>
      <c r="Q31" s="367"/>
      <c r="R31" s="367"/>
      <c r="S31" s="458"/>
      <c r="T31" s="367"/>
      <c r="U31" s="367"/>
      <c r="V31" s="458"/>
      <c r="W31" s="367"/>
      <c r="X31" s="367"/>
      <c r="Y31" s="458"/>
      <c r="Z31" s="870"/>
      <c r="AA31" s="871"/>
      <c r="AB31" s="872"/>
      <c r="AC31" s="299"/>
      <c r="AD31" s="299"/>
      <c r="AE31" s="299"/>
      <c r="AF31" s="299"/>
      <c r="AG31" s="299"/>
      <c r="AH31" s="458"/>
      <c r="AI31" s="299"/>
      <c r="AJ31" s="299"/>
      <c r="AK31" s="458"/>
      <c r="AL31" s="299"/>
      <c r="AM31" s="299"/>
      <c r="AN31" s="458"/>
      <c r="AO31" s="299"/>
      <c r="AP31" s="299"/>
      <c r="AQ31" s="467"/>
      <c r="AS31" s="281">
        <v>8</v>
      </c>
      <c r="AT31" s="281">
        <v>8</v>
      </c>
      <c r="AU31" s="281">
        <v>8</v>
      </c>
      <c r="AV31" s="281">
        <v>8</v>
      </c>
      <c r="AW31" s="473">
        <f>(SUM(D32:Y32))/1000</f>
        <v>1.1354559999999998</v>
      </c>
      <c r="AX31" s="473">
        <f>(SUM(D32:Y32))/1000</f>
        <v>1.1354559999999998</v>
      </c>
    </row>
    <row r="32" spans="1:50">
      <c r="A32" s="366"/>
      <c r="B32" s="299"/>
      <c r="C32" s="299"/>
      <c r="D32" s="460">
        <v>251.57</v>
      </c>
      <c r="E32" s="299"/>
      <c r="F32" s="299"/>
      <c r="G32" s="460">
        <v>271.76</v>
      </c>
      <c r="H32" s="299"/>
      <c r="I32" s="299"/>
      <c r="J32" s="460">
        <v>261.04000000000002</v>
      </c>
      <c r="K32" s="299"/>
      <c r="L32" s="299"/>
      <c r="M32" s="460">
        <v>37.42</v>
      </c>
      <c r="N32" s="299"/>
      <c r="O32" s="299"/>
      <c r="P32" s="463">
        <v>71</v>
      </c>
      <c r="Q32" s="299"/>
      <c r="R32" s="299"/>
      <c r="S32" s="463">
        <v>37.520000000000003</v>
      </c>
      <c r="T32" s="299"/>
      <c r="U32" s="299"/>
      <c r="V32" s="463">
        <v>165.14699999999999</v>
      </c>
      <c r="W32" s="299"/>
      <c r="X32" s="299"/>
      <c r="Y32" s="466">
        <v>39.999000000000002</v>
      </c>
      <c r="Z32" s="299"/>
      <c r="AA32" s="299"/>
      <c r="AB32" s="458"/>
      <c r="AC32" s="299"/>
      <c r="AD32" s="299"/>
      <c r="AE32" s="299"/>
      <c r="AF32" s="299"/>
      <c r="AG32" s="299"/>
      <c r="AH32" s="458"/>
      <c r="AI32" s="299"/>
      <c r="AJ32" s="299"/>
      <c r="AK32" s="458"/>
      <c r="AL32" s="299"/>
      <c r="AM32" s="299"/>
      <c r="AN32" s="458"/>
      <c r="AO32" s="299"/>
      <c r="AP32" s="299"/>
      <c r="AQ32" s="467"/>
    </row>
    <row r="33" spans="1:50">
      <c r="A33" s="299"/>
      <c r="B33" s="801" t="s">
        <v>181</v>
      </c>
      <c r="C33" s="801"/>
      <c r="D33" s="275"/>
      <c r="E33" s="753" t="s">
        <v>182</v>
      </c>
      <c r="F33" s="753"/>
      <c r="G33" s="275"/>
      <c r="H33" s="753" t="s">
        <v>183</v>
      </c>
      <c r="I33" s="753"/>
      <c r="J33" s="275"/>
      <c r="K33" s="753" t="s">
        <v>336</v>
      </c>
      <c r="L33" s="753"/>
      <c r="M33" s="275"/>
      <c r="N33" s="753" t="s">
        <v>192</v>
      </c>
      <c r="O33" s="753"/>
      <c r="P33" s="275"/>
      <c r="Q33" s="753" t="s">
        <v>193</v>
      </c>
      <c r="R33" s="753"/>
      <c r="S33" s="275"/>
      <c r="T33" s="745" t="s">
        <v>338</v>
      </c>
      <c r="U33" s="745"/>
      <c r="V33" s="275"/>
      <c r="W33" s="745" t="s">
        <v>340</v>
      </c>
      <c r="X33" s="745"/>
      <c r="Y33" s="275"/>
      <c r="Z33" s="299"/>
      <c r="AA33" s="299"/>
      <c r="AB33" s="458"/>
      <c r="AC33" s="299"/>
      <c r="AD33" s="299"/>
      <c r="AE33" s="299"/>
      <c r="AF33" s="299"/>
      <c r="AG33" s="299"/>
      <c r="AH33" s="458"/>
      <c r="AI33" s="299"/>
      <c r="AJ33" s="299"/>
      <c r="AK33" s="458"/>
      <c r="AL33" s="299"/>
      <c r="AM33" s="299"/>
      <c r="AN33" s="458"/>
      <c r="AO33" s="299"/>
      <c r="AP33" s="299"/>
      <c r="AQ33" s="458"/>
    </row>
    <row r="34" spans="1:50">
      <c r="A34" s="365"/>
      <c r="B34" s="745" t="s">
        <v>42</v>
      </c>
      <c r="C34" s="745"/>
      <c r="D34" s="458"/>
      <c r="E34" s="745" t="s">
        <v>42</v>
      </c>
      <c r="F34" s="745"/>
      <c r="G34" s="458"/>
      <c r="H34" s="299" t="s">
        <v>42</v>
      </c>
      <c r="I34" s="299"/>
      <c r="J34" s="458"/>
      <c r="K34" s="745" t="s">
        <v>34</v>
      </c>
      <c r="L34" s="745"/>
      <c r="M34" s="458"/>
      <c r="N34" s="745" t="s">
        <v>625</v>
      </c>
      <c r="O34" s="745"/>
      <c r="P34" s="458"/>
      <c r="Q34" s="745" t="s">
        <v>625</v>
      </c>
      <c r="R34" s="745"/>
      <c r="S34" s="458"/>
      <c r="T34" s="745" t="s">
        <v>34</v>
      </c>
      <c r="U34" s="745"/>
      <c r="V34" s="458"/>
      <c r="W34" s="745" t="s">
        <v>626</v>
      </c>
      <c r="X34" s="745"/>
      <c r="Y34" s="458"/>
      <c r="AQ34" s="464"/>
    </row>
    <row r="35" spans="1:50" ht="15.75" thickBot="1">
      <c r="A35" s="365"/>
      <c r="B35" s="299"/>
      <c r="C35" s="299"/>
      <c r="D35" s="458"/>
      <c r="E35" s="299"/>
      <c r="F35" s="299"/>
      <c r="G35" s="458"/>
      <c r="H35" s="299"/>
      <c r="I35" s="299"/>
      <c r="J35" s="458"/>
      <c r="K35" s="299"/>
      <c r="L35" s="299"/>
      <c r="M35" s="458"/>
      <c r="N35" s="299"/>
      <c r="O35" s="299"/>
      <c r="P35" s="458"/>
      <c r="Q35" s="299"/>
      <c r="R35" s="299"/>
      <c r="S35" s="458"/>
      <c r="T35" s="299"/>
      <c r="U35" s="299"/>
      <c r="V35" s="458"/>
      <c r="W35" s="299"/>
      <c r="X35" s="299"/>
      <c r="Y35" s="458"/>
      <c r="AQ35" s="464"/>
      <c r="AW35" s="282"/>
      <c r="AX35" s="282"/>
    </row>
    <row r="36" spans="1:50">
      <c r="A36" s="362"/>
      <c r="B36" s="509"/>
      <c r="C36" s="509"/>
      <c r="D36" s="511"/>
      <c r="E36" s="509"/>
      <c r="F36" s="509"/>
      <c r="G36" s="511"/>
      <c r="H36" s="509"/>
      <c r="I36" s="509"/>
      <c r="J36" s="511"/>
      <c r="K36" s="509"/>
      <c r="L36" s="509"/>
      <c r="M36" s="511"/>
      <c r="N36" s="509"/>
      <c r="O36" s="509"/>
      <c r="P36" s="511"/>
      <c r="Q36" s="509"/>
      <c r="R36" s="509"/>
      <c r="S36" s="511"/>
      <c r="T36" s="509"/>
      <c r="U36" s="509"/>
      <c r="V36" s="511"/>
      <c r="W36" s="509"/>
      <c r="X36" s="509"/>
      <c r="Y36" s="511"/>
      <c r="Z36" s="297"/>
      <c r="AA36" s="297"/>
      <c r="AB36" s="457"/>
      <c r="AC36" s="297"/>
      <c r="AD36" s="297"/>
      <c r="AE36" s="297"/>
      <c r="AF36" s="297"/>
      <c r="AG36" s="297"/>
      <c r="AH36" s="457"/>
      <c r="AI36" s="297"/>
      <c r="AJ36" s="297"/>
      <c r="AK36" s="457"/>
      <c r="AL36" s="297"/>
      <c r="AM36" s="297"/>
      <c r="AN36" s="457"/>
      <c r="AO36" s="297"/>
      <c r="AP36" s="297"/>
      <c r="AQ36" s="512"/>
      <c r="AS36" s="281">
        <f>AS6+AS14+AS22+AS31</f>
        <v>39</v>
      </c>
      <c r="AT36" s="281">
        <f t="shared" ref="AT36:AX36" si="0">+AT14+AT22+AT31</f>
        <v>35</v>
      </c>
      <c r="AU36" s="281">
        <f t="shared" si="0"/>
        <v>34</v>
      </c>
      <c r="AV36" s="281">
        <f t="shared" si="0"/>
        <v>34</v>
      </c>
      <c r="AW36" s="473">
        <f t="shared" si="0"/>
        <v>6.7779459999999983</v>
      </c>
      <c r="AX36" s="473">
        <f t="shared" si="0"/>
        <v>6.7779459999999983</v>
      </c>
    </row>
    <row r="37" spans="1:50" ht="15.75" customHeight="1" thickBot="1">
      <c r="A37" s="365"/>
      <c r="B37" s="819" t="s">
        <v>627</v>
      </c>
      <c r="C37" s="820"/>
      <c r="D37" s="820"/>
      <c r="E37" s="820"/>
      <c r="F37" s="820"/>
      <c r="G37" s="820"/>
      <c r="H37" s="820"/>
      <c r="I37" s="820"/>
      <c r="J37" s="820"/>
      <c r="K37" s="820"/>
      <c r="L37" s="821"/>
      <c r="N37" s="819" t="s">
        <v>628</v>
      </c>
      <c r="O37" s="820"/>
      <c r="P37" s="820"/>
      <c r="Q37" s="820"/>
      <c r="R37" s="820"/>
      <c r="S37" s="820"/>
      <c r="T37" s="820"/>
      <c r="U37" s="820"/>
      <c r="V37" s="821"/>
      <c r="W37" s="835" t="s">
        <v>629</v>
      </c>
      <c r="X37" s="836"/>
      <c r="Y37" s="836"/>
      <c r="Z37" s="836"/>
      <c r="AA37" s="836"/>
      <c r="AB37" s="836"/>
      <c r="AC37" s="836"/>
      <c r="AD37" s="836"/>
      <c r="AE37" s="836"/>
      <c r="AF37" s="836"/>
      <c r="AG37" s="836"/>
      <c r="AH37" s="836"/>
      <c r="AI37" s="836"/>
      <c r="AJ37" s="836"/>
      <c r="AK37" s="836"/>
      <c r="AL37" s="836"/>
      <c r="AM37" s="836"/>
      <c r="AN37" s="839" t="s">
        <v>354</v>
      </c>
      <c r="AO37" s="839"/>
      <c r="AP37" s="839"/>
      <c r="AQ37" s="840"/>
    </row>
    <row r="38" spans="1:50" ht="15" customHeight="1">
      <c r="A38" s="365"/>
      <c r="B38" s="365"/>
      <c r="O38" s="513"/>
      <c r="V38" s="464"/>
      <c r="W38" s="837"/>
      <c r="X38" s="838"/>
      <c r="Y38" s="838"/>
      <c r="Z38" s="838"/>
      <c r="AA38" s="838"/>
      <c r="AB38" s="838"/>
      <c r="AC38" s="838"/>
      <c r="AD38" s="838"/>
      <c r="AE38" s="838"/>
      <c r="AF38" s="838"/>
      <c r="AG38" s="838"/>
      <c r="AH38" s="838"/>
      <c r="AI38" s="838"/>
      <c r="AJ38" s="838"/>
      <c r="AK38" s="838"/>
      <c r="AL38" s="838"/>
      <c r="AM38" s="838"/>
      <c r="AN38" s="841">
        <f>AS1</f>
        <v>46230</v>
      </c>
      <c r="AO38" s="841"/>
      <c r="AP38" s="841"/>
      <c r="AQ38" s="842"/>
    </row>
    <row r="39" spans="1:50">
      <c r="A39" s="365"/>
      <c r="B39" s="822" t="s">
        <v>470</v>
      </c>
      <c r="C39" s="823"/>
      <c r="D39" s="824"/>
      <c r="F39" s="715" t="s">
        <v>630</v>
      </c>
      <c r="G39" s="715"/>
      <c r="I39" s="715" t="s">
        <v>631</v>
      </c>
      <c r="J39" s="715"/>
      <c r="N39" s="717" t="s">
        <v>632</v>
      </c>
      <c r="O39" s="717"/>
      <c r="P39" s="825"/>
      <c r="R39" s="692" t="s">
        <v>633</v>
      </c>
      <c r="S39" s="693"/>
      <c r="T39" s="692"/>
      <c r="U39" s="693"/>
      <c r="V39" s="464"/>
      <c r="W39" s="843" t="s">
        <v>2</v>
      </c>
      <c r="X39" s="721"/>
      <c r="Y39" s="721" t="s">
        <v>356</v>
      </c>
      <c r="Z39" s="721"/>
      <c r="AA39" s="721"/>
      <c r="AB39" s="721"/>
      <c r="AC39" s="721" t="s">
        <v>634</v>
      </c>
      <c r="AD39" s="721"/>
      <c r="AE39" s="721" t="s">
        <v>635</v>
      </c>
      <c r="AF39" s="721"/>
      <c r="AG39" s="721"/>
      <c r="AH39" s="721" t="s">
        <v>32</v>
      </c>
      <c r="AI39" s="721"/>
      <c r="AJ39" s="721"/>
      <c r="AK39" s="721" t="s">
        <v>372</v>
      </c>
      <c r="AL39" s="721"/>
      <c r="AM39" s="721"/>
      <c r="AN39" s="721" t="s">
        <v>15</v>
      </c>
      <c r="AO39" s="721"/>
      <c r="AP39" s="721"/>
      <c r="AQ39" s="730"/>
    </row>
    <row r="40" spans="1:50">
      <c r="A40" s="365"/>
      <c r="B40" s="365"/>
      <c r="N40" s="717"/>
      <c r="O40" s="717"/>
      <c r="P40" s="825"/>
      <c r="R40" s="694"/>
      <c r="S40" s="695"/>
      <c r="T40" s="694"/>
      <c r="U40" s="695"/>
      <c r="V40" s="464"/>
      <c r="W40" s="829">
        <v>1</v>
      </c>
      <c r="X40" s="688"/>
      <c r="Y40" s="688" t="s">
        <v>376</v>
      </c>
      <c r="Z40" s="688"/>
      <c r="AA40" s="688"/>
      <c r="AB40" s="688"/>
      <c r="AC40" s="688" t="s">
        <v>377</v>
      </c>
      <c r="AD40" s="688"/>
      <c r="AE40" s="844">
        <v>9.23</v>
      </c>
      <c r="AF40" s="845"/>
      <c r="AG40" s="846"/>
      <c r="AH40" s="844">
        <v>9.23</v>
      </c>
      <c r="AI40" s="845"/>
      <c r="AJ40" s="846"/>
      <c r="AK40" s="688">
        <f t="shared" ref="AK40:AK48" si="1">AE40-AH40</f>
        <v>0</v>
      </c>
      <c r="AL40" s="688"/>
      <c r="AM40" s="688"/>
      <c r="AN40" s="688"/>
      <c r="AO40" s="688"/>
      <c r="AP40" s="688"/>
      <c r="AQ40" s="723"/>
    </row>
    <row r="41" spans="1:50">
      <c r="A41" s="365"/>
      <c r="B41" s="831" t="s">
        <v>468</v>
      </c>
      <c r="C41" s="832"/>
      <c r="D41" s="833"/>
      <c r="N41" s="717" t="s">
        <v>636</v>
      </c>
      <c r="O41" s="717"/>
      <c r="P41" s="825"/>
      <c r="R41" s="694"/>
      <c r="S41" s="695"/>
      <c r="T41" s="694"/>
      <c r="U41" s="695"/>
      <c r="V41" s="464"/>
      <c r="W41" s="829">
        <v>2</v>
      </c>
      <c r="X41" s="688"/>
      <c r="Y41" s="688" t="s">
        <v>378</v>
      </c>
      <c r="Z41" s="688"/>
      <c r="AA41" s="688"/>
      <c r="AB41" s="688"/>
      <c r="AC41" s="688" t="s">
        <v>377</v>
      </c>
      <c r="AD41" s="688"/>
      <c r="AE41" s="844">
        <v>9.23</v>
      </c>
      <c r="AF41" s="845"/>
      <c r="AG41" s="846"/>
      <c r="AH41" s="844">
        <v>9.23</v>
      </c>
      <c r="AI41" s="845"/>
      <c r="AJ41" s="846"/>
      <c r="AK41" s="688">
        <f t="shared" si="1"/>
        <v>0</v>
      </c>
      <c r="AL41" s="688"/>
      <c r="AM41" s="688"/>
      <c r="AN41" s="688"/>
      <c r="AO41" s="688"/>
      <c r="AP41" s="688"/>
      <c r="AQ41" s="723"/>
    </row>
    <row r="42" spans="1:50">
      <c r="A42" s="365"/>
      <c r="B42" s="365"/>
      <c r="N42" s="717"/>
      <c r="O42" s="717"/>
      <c r="P42" s="825"/>
      <c r="R42" s="696"/>
      <c r="S42" s="697"/>
      <c r="T42" s="696"/>
      <c r="U42" s="697"/>
      <c r="V42" s="464"/>
      <c r="W42" s="829">
        <v>3</v>
      </c>
      <c r="X42" s="688"/>
      <c r="Y42" s="688" t="s">
        <v>379</v>
      </c>
      <c r="Z42" s="688"/>
      <c r="AA42" s="688"/>
      <c r="AB42" s="688"/>
      <c r="AC42" s="688" t="s">
        <v>637</v>
      </c>
      <c r="AD42" s="688"/>
      <c r="AE42" s="688">
        <v>39</v>
      </c>
      <c r="AF42" s="688"/>
      <c r="AG42" s="688"/>
      <c r="AH42" s="688">
        <f>+AS36</f>
        <v>39</v>
      </c>
      <c r="AI42" s="688"/>
      <c r="AJ42" s="688"/>
      <c r="AK42" s="688">
        <f t="shared" si="1"/>
        <v>0</v>
      </c>
      <c r="AL42" s="688"/>
      <c r="AM42" s="688"/>
      <c r="AN42" s="688"/>
      <c r="AO42" s="688"/>
      <c r="AP42" s="688"/>
      <c r="AQ42" s="723"/>
    </row>
    <row r="43" spans="1:50">
      <c r="A43" s="365"/>
      <c r="B43" s="365"/>
      <c r="E43" s="830"/>
      <c r="F43" s="830"/>
      <c r="H43" s="834"/>
      <c r="I43" s="834"/>
      <c r="K43" s="830"/>
      <c r="L43" s="830"/>
      <c r="N43" s="717" t="s">
        <v>638</v>
      </c>
      <c r="O43" s="717"/>
      <c r="P43" s="825"/>
      <c r="R43" s="692" t="s">
        <v>452</v>
      </c>
      <c r="S43" s="693"/>
      <c r="T43" s="692"/>
      <c r="U43" s="693"/>
      <c r="V43" s="464"/>
      <c r="W43" s="829">
        <v>4</v>
      </c>
      <c r="X43" s="688"/>
      <c r="Y43" s="688" t="s">
        <v>381</v>
      </c>
      <c r="Z43" s="688"/>
      <c r="AA43" s="688"/>
      <c r="AB43" s="688"/>
      <c r="AC43" s="688" t="s">
        <v>637</v>
      </c>
      <c r="AD43" s="688"/>
      <c r="AE43" s="688">
        <v>39</v>
      </c>
      <c r="AF43" s="688"/>
      <c r="AG43" s="688"/>
      <c r="AH43" s="688">
        <f>+AT36</f>
        <v>35</v>
      </c>
      <c r="AI43" s="688"/>
      <c r="AJ43" s="688"/>
      <c r="AK43" s="688">
        <f t="shared" si="1"/>
        <v>4</v>
      </c>
      <c r="AL43" s="688"/>
      <c r="AM43" s="688"/>
      <c r="AN43" s="688"/>
      <c r="AO43" s="688"/>
      <c r="AP43" s="688"/>
      <c r="AQ43" s="723"/>
    </row>
    <row r="44" spans="1:50">
      <c r="A44" s="365"/>
      <c r="B44" s="370"/>
      <c r="C44" s="371"/>
      <c r="D44" s="372"/>
      <c r="E44" s="373"/>
      <c r="F44" s="293"/>
      <c r="G44" s="514"/>
      <c r="H44" s="281"/>
      <c r="I44" s="281"/>
      <c r="J44" s="514"/>
      <c r="K44" s="363"/>
      <c r="L44" s="281"/>
      <c r="M44" s="514"/>
      <c r="N44" s="717"/>
      <c r="O44" s="717"/>
      <c r="P44" s="825"/>
      <c r="R44" s="694"/>
      <c r="S44" s="695"/>
      <c r="T44" s="694"/>
      <c r="U44" s="695"/>
      <c r="V44" s="464"/>
      <c r="W44" s="829">
        <v>5</v>
      </c>
      <c r="X44" s="688"/>
      <c r="Y44" s="688" t="s">
        <v>468</v>
      </c>
      <c r="Z44" s="688"/>
      <c r="AA44" s="688"/>
      <c r="AB44" s="688"/>
      <c r="AC44" s="688" t="s">
        <v>637</v>
      </c>
      <c r="AD44" s="688"/>
      <c r="AE44" s="688">
        <v>39</v>
      </c>
      <c r="AF44" s="688"/>
      <c r="AG44" s="688"/>
      <c r="AH44" s="688">
        <f>+AU36</f>
        <v>34</v>
      </c>
      <c r="AI44" s="688"/>
      <c r="AJ44" s="688"/>
      <c r="AK44" s="688">
        <f t="shared" si="1"/>
        <v>5</v>
      </c>
      <c r="AL44" s="688"/>
      <c r="AM44" s="688"/>
      <c r="AN44" s="688"/>
      <c r="AO44" s="688"/>
      <c r="AP44" s="688"/>
      <c r="AQ44" s="723"/>
    </row>
    <row r="45" spans="1:50">
      <c r="A45" s="365"/>
      <c r="B45" s="826" t="s">
        <v>379</v>
      </c>
      <c r="C45" s="827"/>
      <c r="D45" s="828"/>
      <c r="E45" s="373"/>
      <c r="F45" s="373"/>
      <c r="G45" s="514"/>
      <c r="H45" s="281"/>
      <c r="I45" s="281"/>
      <c r="K45" s="363"/>
      <c r="L45" s="281"/>
      <c r="M45" s="514"/>
      <c r="N45" s="717" t="s">
        <v>639</v>
      </c>
      <c r="O45" s="717"/>
      <c r="P45" s="825"/>
      <c r="R45" s="694"/>
      <c r="S45" s="695"/>
      <c r="T45" s="694"/>
      <c r="U45" s="695"/>
      <c r="V45" s="464"/>
      <c r="W45" s="829">
        <v>6</v>
      </c>
      <c r="X45" s="688"/>
      <c r="Y45" s="688" t="s">
        <v>640</v>
      </c>
      <c r="Z45" s="688"/>
      <c r="AA45" s="688"/>
      <c r="AB45" s="688"/>
      <c r="AC45" s="688" t="s">
        <v>637</v>
      </c>
      <c r="AD45" s="688"/>
      <c r="AE45" s="688">
        <v>39</v>
      </c>
      <c r="AF45" s="688"/>
      <c r="AG45" s="688"/>
      <c r="AH45" s="688">
        <f>+AV36</f>
        <v>34</v>
      </c>
      <c r="AI45" s="688"/>
      <c r="AJ45" s="688"/>
      <c r="AK45" s="688">
        <f t="shared" si="1"/>
        <v>5</v>
      </c>
      <c r="AL45" s="688"/>
      <c r="AM45" s="688"/>
      <c r="AN45" s="722"/>
      <c r="AO45" s="847"/>
      <c r="AP45" s="847"/>
      <c r="AQ45" s="848"/>
    </row>
    <row r="46" spans="1:50">
      <c r="A46" s="365"/>
      <c r="B46" s="370" t="s">
        <v>641</v>
      </c>
      <c r="C46" s="371"/>
      <c r="E46" s="855" t="s">
        <v>38</v>
      </c>
      <c r="F46" s="855"/>
      <c r="G46" s="515">
        <v>293</v>
      </c>
      <c r="H46" s="856" t="s">
        <v>41</v>
      </c>
      <c r="I46" s="855"/>
      <c r="J46" s="516">
        <v>391</v>
      </c>
      <c r="K46" s="857" t="s">
        <v>45</v>
      </c>
      <c r="L46" s="858"/>
      <c r="M46" s="514"/>
      <c r="N46" s="717"/>
      <c r="O46" s="717"/>
      <c r="P46" s="825"/>
      <c r="R46" s="696"/>
      <c r="S46" s="697"/>
      <c r="T46" s="696"/>
      <c r="U46" s="697"/>
      <c r="V46" s="464"/>
      <c r="W46" s="829">
        <v>7</v>
      </c>
      <c r="X46" s="688"/>
      <c r="Y46" s="688" t="s">
        <v>642</v>
      </c>
      <c r="Z46" s="688"/>
      <c r="AA46" s="688"/>
      <c r="AB46" s="688"/>
      <c r="AC46" s="688" t="s">
        <v>377</v>
      </c>
      <c r="AD46" s="688"/>
      <c r="AE46" s="844">
        <v>9.23</v>
      </c>
      <c r="AF46" s="845"/>
      <c r="AG46" s="846"/>
      <c r="AH46" s="849">
        <f>+AX36</f>
        <v>6.7779459999999983</v>
      </c>
      <c r="AI46" s="849"/>
      <c r="AJ46" s="849"/>
      <c r="AK46" s="709">
        <f t="shared" si="1"/>
        <v>2.4520540000000022</v>
      </c>
      <c r="AL46" s="709"/>
      <c r="AM46" s="709"/>
      <c r="AN46" s="688"/>
      <c r="AO46" s="688"/>
      <c r="AP46" s="688"/>
      <c r="AQ46" s="723"/>
    </row>
    <row r="47" spans="1:50">
      <c r="A47" s="365"/>
      <c r="B47" s="370" t="s">
        <v>399</v>
      </c>
      <c r="C47" s="371"/>
      <c r="E47" s="860" t="s">
        <v>39</v>
      </c>
      <c r="F47" s="860"/>
      <c r="H47" s="860" t="s">
        <v>37</v>
      </c>
      <c r="I47" s="860"/>
      <c r="J47" s="516"/>
      <c r="K47" s="861" t="s">
        <v>46</v>
      </c>
      <c r="L47" s="862"/>
      <c r="M47" s="514"/>
      <c r="N47" s="717" t="s">
        <v>643</v>
      </c>
      <c r="O47" s="717"/>
      <c r="P47" s="825"/>
      <c r="R47" s="765" t="s">
        <v>438</v>
      </c>
      <c r="S47" s="765"/>
      <c r="T47" s="690"/>
      <c r="U47" s="690"/>
      <c r="V47" s="464"/>
      <c r="W47" s="829">
        <v>8</v>
      </c>
      <c r="X47" s="688"/>
      <c r="Y47" s="688" t="s">
        <v>644</v>
      </c>
      <c r="Z47" s="688"/>
      <c r="AA47" s="688"/>
      <c r="AB47" s="688"/>
      <c r="AC47" s="688" t="s">
        <v>377</v>
      </c>
      <c r="AD47" s="688"/>
      <c r="AE47" s="844">
        <v>9.23</v>
      </c>
      <c r="AF47" s="845"/>
      <c r="AG47" s="846"/>
      <c r="AH47" s="687">
        <f>AX36</f>
        <v>6.7779459999999983</v>
      </c>
      <c r="AI47" s="688"/>
      <c r="AJ47" s="688"/>
      <c r="AK47" s="709">
        <f t="shared" si="1"/>
        <v>2.4520540000000022</v>
      </c>
      <c r="AL47" s="709"/>
      <c r="AM47" s="709"/>
      <c r="AN47" s="688"/>
      <c r="AO47" s="688"/>
      <c r="AP47" s="688"/>
      <c r="AQ47" s="723"/>
    </row>
    <row r="48" spans="1:50" ht="15.75" thickBot="1">
      <c r="A48" s="374"/>
      <c r="B48" s="374"/>
      <c r="C48" s="277"/>
      <c r="D48" s="461"/>
      <c r="E48" s="277"/>
      <c r="F48" s="716" t="s">
        <v>381</v>
      </c>
      <c r="G48" s="716"/>
      <c r="H48" s="277"/>
      <c r="I48" s="277"/>
      <c r="J48" s="716" t="s">
        <v>645</v>
      </c>
      <c r="K48" s="716"/>
      <c r="L48" s="716"/>
      <c r="M48" s="461"/>
      <c r="N48" s="718"/>
      <c r="O48" s="718"/>
      <c r="P48" s="863"/>
      <c r="Q48" s="277"/>
      <c r="R48" s="766"/>
      <c r="S48" s="766"/>
      <c r="T48" s="691"/>
      <c r="U48" s="691"/>
      <c r="V48" s="465"/>
      <c r="W48" s="859">
        <v>9</v>
      </c>
      <c r="X48" s="686"/>
      <c r="Y48" s="686" t="s">
        <v>390</v>
      </c>
      <c r="Z48" s="686"/>
      <c r="AA48" s="686"/>
      <c r="AB48" s="686"/>
      <c r="AC48" s="686" t="s">
        <v>377</v>
      </c>
      <c r="AD48" s="686"/>
      <c r="AE48" s="851">
        <v>9.23</v>
      </c>
      <c r="AF48" s="852"/>
      <c r="AG48" s="853"/>
      <c r="AH48" s="689">
        <f>AW36</f>
        <v>6.7779459999999983</v>
      </c>
      <c r="AI48" s="686"/>
      <c r="AJ48" s="686"/>
      <c r="AK48" s="854">
        <f t="shared" si="1"/>
        <v>2.4520540000000022</v>
      </c>
      <c r="AL48" s="854"/>
      <c r="AM48" s="854"/>
      <c r="AN48" s="686"/>
      <c r="AO48" s="686"/>
      <c r="AP48" s="686"/>
      <c r="AQ48" s="711"/>
    </row>
    <row r="52" spans="34:35">
      <c r="AH52" s="850"/>
      <c r="AI52" s="850"/>
    </row>
  </sheetData>
  <mergeCells count="248">
    <mergeCell ref="Z29:AB31"/>
    <mergeCell ref="E12:F15"/>
    <mergeCell ref="B17:C17"/>
    <mergeCell ref="B18:C18"/>
    <mergeCell ref="AO9:AP9"/>
    <mergeCell ref="AL9:AM9"/>
    <mergeCell ref="AI9:AJ9"/>
    <mergeCell ref="AF8:AG8"/>
    <mergeCell ref="AF9:AG9"/>
    <mergeCell ref="AF10:AG10"/>
    <mergeCell ref="AI10:AJ10"/>
    <mergeCell ref="AL10:AM10"/>
    <mergeCell ref="AO10:AP10"/>
    <mergeCell ref="AC9:AD10"/>
    <mergeCell ref="Z9:AA10"/>
    <mergeCell ref="W9:X10"/>
    <mergeCell ref="T9:U10"/>
    <mergeCell ref="AF24:AG24"/>
    <mergeCell ref="AC24:AD24"/>
    <mergeCell ref="AI24:AJ24"/>
    <mergeCell ref="W26:X26"/>
    <mergeCell ref="Z26:AA26"/>
    <mergeCell ref="H26:I26"/>
    <mergeCell ref="AL13:AM13"/>
    <mergeCell ref="E46:F46"/>
    <mergeCell ref="H46:I46"/>
    <mergeCell ref="K46:L46"/>
    <mergeCell ref="N45:O46"/>
    <mergeCell ref="P45:P46"/>
    <mergeCell ref="W46:X46"/>
    <mergeCell ref="Y46:AB46"/>
    <mergeCell ref="AC46:AD46"/>
    <mergeCell ref="F48:G48"/>
    <mergeCell ref="W48:X48"/>
    <mergeCell ref="Y48:AB48"/>
    <mergeCell ref="AC48:AD48"/>
    <mergeCell ref="E47:F47"/>
    <mergeCell ref="H47:I47"/>
    <mergeCell ref="K47:L47"/>
    <mergeCell ref="W47:X47"/>
    <mergeCell ref="J48:L48"/>
    <mergeCell ref="N47:O48"/>
    <mergeCell ref="AC47:AD47"/>
    <mergeCell ref="P47:P48"/>
    <mergeCell ref="R47:S48"/>
    <mergeCell ref="T47:U48"/>
    <mergeCell ref="Y47:AB47"/>
    <mergeCell ref="P43:P44"/>
    <mergeCell ref="AH52:AI52"/>
    <mergeCell ref="AE48:AG48"/>
    <mergeCell ref="AH48:AJ48"/>
    <mergeCell ref="AK48:AM48"/>
    <mergeCell ref="R39:S42"/>
    <mergeCell ref="T39:U42"/>
    <mergeCell ref="W40:X40"/>
    <mergeCell ref="Y40:AB40"/>
    <mergeCell ref="AC40:AD40"/>
    <mergeCell ref="R43:S46"/>
    <mergeCell ref="T43:U46"/>
    <mergeCell ref="AN44:AQ44"/>
    <mergeCell ref="W43:X43"/>
    <mergeCell ref="Y43:AB43"/>
    <mergeCell ref="AC43:AD43"/>
    <mergeCell ref="W41:X41"/>
    <mergeCell ref="Y41:AB41"/>
    <mergeCell ref="AC41:AD41"/>
    <mergeCell ref="AN48:AQ48"/>
    <mergeCell ref="AE47:AG47"/>
    <mergeCell ref="AH47:AJ47"/>
    <mergeCell ref="AK47:AM47"/>
    <mergeCell ref="AN47:AQ47"/>
    <mergeCell ref="AK46:AM46"/>
    <mergeCell ref="AN46:AQ46"/>
    <mergeCell ref="AN45:AQ45"/>
    <mergeCell ref="AE46:AG46"/>
    <mergeCell ref="AH46:AJ46"/>
    <mergeCell ref="AK45:AM45"/>
    <mergeCell ref="W37:AM38"/>
    <mergeCell ref="AN37:AQ37"/>
    <mergeCell ref="AN38:AQ38"/>
    <mergeCell ref="W39:X39"/>
    <mergeCell ref="Y39:AB39"/>
    <mergeCell ref="AC39:AD39"/>
    <mergeCell ref="AE45:AG45"/>
    <mergeCell ref="AH45:AJ45"/>
    <mergeCell ref="AH43:AJ43"/>
    <mergeCell ref="AK43:AM43"/>
    <mergeCell ref="AN41:AQ41"/>
    <mergeCell ref="AE40:AG40"/>
    <mergeCell ref="AH40:AJ40"/>
    <mergeCell ref="AK40:AM40"/>
    <mergeCell ref="AN42:AQ42"/>
    <mergeCell ref="AE43:AG43"/>
    <mergeCell ref="AN40:AQ40"/>
    <mergeCell ref="AE41:AG41"/>
    <mergeCell ref="AH41:AJ41"/>
    <mergeCell ref="AK41:AM41"/>
    <mergeCell ref="AN39:AQ39"/>
    <mergeCell ref="AN43:AQ43"/>
    <mergeCell ref="W44:X44"/>
    <mergeCell ref="Y44:AB44"/>
    <mergeCell ref="B45:D45"/>
    <mergeCell ref="AE39:AG39"/>
    <mergeCell ref="AH39:AJ39"/>
    <mergeCell ref="AK39:AM39"/>
    <mergeCell ref="W42:X42"/>
    <mergeCell ref="Y42:AB42"/>
    <mergeCell ref="AC42:AD42"/>
    <mergeCell ref="AE42:AG42"/>
    <mergeCell ref="AH42:AJ42"/>
    <mergeCell ref="AK42:AM42"/>
    <mergeCell ref="N41:O42"/>
    <mergeCell ref="P41:P42"/>
    <mergeCell ref="W45:X45"/>
    <mergeCell ref="Y45:AB45"/>
    <mergeCell ref="AC45:AD45"/>
    <mergeCell ref="E43:F43"/>
    <mergeCell ref="AC44:AD44"/>
    <mergeCell ref="AE44:AG44"/>
    <mergeCell ref="AH44:AJ44"/>
    <mergeCell ref="AK44:AM44"/>
    <mergeCell ref="B41:D41"/>
    <mergeCell ref="H43:I43"/>
    <mergeCell ref="K43:L43"/>
    <mergeCell ref="N43:O44"/>
    <mergeCell ref="B37:L37"/>
    <mergeCell ref="N37:V37"/>
    <mergeCell ref="B39:D39"/>
    <mergeCell ref="F39:G39"/>
    <mergeCell ref="I39:J39"/>
    <mergeCell ref="N39:O40"/>
    <mergeCell ref="P39:P40"/>
    <mergeCell ref="N33:O33"/>
    <mergeCell ref="T33:U33"/>
    <mergeCell ref="W33:X33"/>
    <mergeCell ref="W34:X34"/>
    <mergeCell ref="AO26:AP26"/>
    <mergeCell ref="B21:C21"/>
    <mergeCell ref="E21:F21"/>
    <mergeCell ref="H21:I21"/>
    <mergeCell ref="K21:L21"/>
    <mergeCell ref="N21:O21"/>
    <mergeCell ref="AL24:AM24"/>
    <mergeCell ref="AO24:AP24"/>
    <mergeCell ref="B34:C34"/>
    <mergeCell ref="E34:F34"/>
    <mergeCell ref="K34:L34"/>
    <mergeCell ref="N34:O34"/>
    <mergeCell ref="Q34:R34"/>
    <mergeCell ref="T34:U34"/>
    <mergeCell ref="Q33:R33"/>
    <mergeCell ref="B33:C33"/>
    <mergeCell ref="E33:F33"/>
    <mergeCell ref="H33:I33"/>
    <mergeCell ref="K33:L33"/>
    <mergeCell ref="AO21:AP21"/>
    <mergeCell ref="B26:C26"/>
    <mergeCell ref="E26:F26"/>
    <mergeCell ref="AO13:AP13"/>
    <mergeCell ref="B25:C25"/>
    <mergeCell ref="E25:F25"/>
    <mergeCell ref="H25:I25"/>
    <mergeCell ref="K25:L25"/>
    <mergeCell ref="AC26:AD26"/>
    <mergeCell ref="AF26:AG26"/>
    <mergeCell ref="AI26:AJ26"/>
    <mergeCell ref="AL26:AM26"/>
    <mergeCell ref="B13:C13"/>
    <mergeCell ref="H13:I13"/>
    <mergeCell ref="K13:L13"/>
    <mergeCell ref="N13:O13"/>
    <mergeCell ref="Q13:R13"/>
    <mergeCell ref="N25:O25"/>
    <mergeCell ref="AI25:AJ25"/>
    <mergeCell ref="AL25:AM25"/>
    <mergeCell ref="W25:X25"/>
    <mergeCell ref="Z25:AA25"/>
    <mergeCell ref="T13:U13"/>
    <mergeCell ref="AC21:AD21"/>
    <mergeCell ref="AF21:AG21"/>
    <mergeCell ref="AI21:AJ21"/>
    <mergeCell ref="AL21:AM21"/>
    <mergeCell ref="AO25:AP25"/>
    <mergeCell ref="A1:AQ1"/>
    <mergeCell ref="AS1:AX1"/>
    <mergeCell ref="Q2:AA2"/>
    <mergeCell ref="AK2:AM2"/>
    <mergeCell ref="K5:L5"/>
    <mergeCell ref="N5:O5"/>
    <mergeCell ref="AI5:AJ5"/>
    <mergeCell ref="H4:I7"/>
    <mergeCell ref="B8:C8"/>
    <mergeCell ref="E8:F8"/>
    <mergeCell ref="B9:C9"/>
    <mergeCell ref="E9:F9"/>
    <mergeCell ref="AN2:AQ2"/>
    <mergeCell ref="Q5:R5"/>
    <mergeCell ref="T5:U5"/>
    <mergeCell ref="H17:I17"/>
    <mergeCell ref="Z18:AA18"/>
    <mergeCell ref="Q21:R21"/>
    <mergeCell ref="T21:U21"/>
    <mergeCell ref="W21:X21"/>
    <mergeCell ref="Z21:AA21"/>
    <mergeCell ref="AC25:AD25"/>
    <mergeCell ref="AF25:AG25"/>
    <mergeCell ref="AL5:AM5"/>
    <mergeCell ref="AO5:AP5"/>
    <mergeCell ref="W5:X5"/>
    <mergeCell ref="Z5:AA5"/>
    <mergeCell ref="AC5:AD5"/>
    <mergeCell ref="AF5:AG5"/>
    <mergeCell ref="K18:L18"/>
    <mergeCell ref="N18:O18"/>
    <mergeCell ref="Q18:R18"/>
    <mergeCell ref="T18:U18"/>
    <mergeCell ref="Q17:R17"/>
    <mergeCell ref="T17:U17"/>
    <mergeCell ref="K17:L17"/>
    <mergeCell ref="N17:O17"/>
    <mergeCell ref="AF17:AG17"/>
    <mergeCell ref="AO18:AP18"/>
    <mergeCell ref="W18:X18"/>
    <mergeCell ref="AI17:AJ17"/>
    <mergeCell ref="AL17:AM17"/>
    <mergeCell ref="AO17:AP17"/>
    <mergeCell ref="W17:X17"/>
    <mergeCell ref="Z17:AA17"/>
    <mergeCell ref="AC17:AD17"/>
    <mergeCell ref="AI13:AJ13"/>
    <mergeCell ref="AI18:AJ18"/>
    <mergeCell ref="AL18:AM18"/>
    <mergeCell ref="H18:I18"/>
    <mergeCell ref="Q9:R10"/>
    <mergeCell ref="N9:O10"/>
    <mergeCell ref="K9:L10"/>
    <mergeCell ref="H9:I10"/>
    <mergeCell ref="K26:L26"/>
    <mergeCell ref="N26:O26"/>
    <mergeCell ref="Q26:R26"/>
    <mergeCell ref="T26:U26"/>
    <mergeCell ref="AC13:AD13"/>
    <mergeCell ref="AF13:AG13"/>
    <mergeCell ref="W13:X13"/>
    <mergeCell ref="Z13:AA13"/>
    <mergeCell ref="Q25:R25"/>
    <mergeCell ref="AC18:AD18"/>
    <mergeCell ref="AF18:AG18"/>
  </mergeCells>
  <conditionalFormatting sqref="E44">
    <cfRule type="containsText" dxfId="27" priority="5" operator="containsText" text="Str">
      <formula>NOT(ISERROR(SEARCH("Str",E44)))</formula>
    </cfRule>
    <cfRule type="containsText" dxfId="26" priority="6" operator="containsText" text="Ere">
      <formula>NOT(ISERROR(SEARCH("Ere",E44)))</formula>
    </cfRule>
    <cfRule type="containsText" dxfId="25" priority="7" operator="containsText" text="Ear">
      <formula>NOT(ISERROR(SEARCH("Ear",E44)))</formula>
    </cfRule>
    <cfRule type="containsText" dxfId="24" priority="8" operator="containsText" text="fnd">
      <formula>NOT(ISERROR(SEARCH("fnd",E44)))</formula>
    </cfRule>
  </conditionalFormatting>
  <conditionalFormatting sqref="E45:F45">
    <cfRule type="containsText" dxfId="23" priority="9" operator="containsText" text="Str">
      <formula>NOT(ISERROR(SEARCH("Str",E45)))</formula>
    </cfRule>
    <cfRule type="containsText" dxfId="22" priority="10" operator="containsText" text="Ere">
      <formula>NOT(ISERROR(SEARCH("Ere",E45)))</formula>
    </cfRule>
    <cfRule type="containsText" dxfId="21" priority="11" operator="containsText" text="Ear">
      <formula>NOT(ISERROR(SEARCH("Ear",E45)))</formula>
    </cfRule>
    <cfRule type="containsText" dxfId="20" priority="12" operator="containsText" text="fnd">
      <formula>NOT(ISERROR(SEARCH("fnd",E45)))</formula>
    </cfRule>
  </conditionalFormatting>
  <conditionalFormatting sqref="K44:K45">
    <cfRule type="containsText" dxfId="19" priority="13" operator="containsText" text="Str">
      <formula>NOT(ISERROR(SEARCH("Str",K44)))</formula>
    </cfRule>
    <cfRule type="containsText" dxfId="18" priority="14" operator="containsText" text="Ere">
      <formula>NOT(ISERROR(SEARCH("Ere",K44)))</formula>
    </cfRule>
    <cfRule type="containsText" dxfId="17" priority="15" operator="containsText" text="Ear">
      <formula>NOT(ISERROR(SEARCH("Ear",K44)))</formula>
    </cfRule>
    <cfRule type="containsText" dxfId="16" priority="16" operator="containsText" text="fnd">
      <formula>NOT(ISERROR(SEARCH("fnd",K44)))</formula>
    </cfRule>
  </conditionalFormatting>
  <conditionalFormatting sqref="O38">
    <cfRule type="containsText" dxfId="15" priority="1" operator="containsText" text="Str">
      <formula>NOT(ISERROR(SEARCH("Str",O38)))</formula>
    </cfRule>
    <cfRule type="containsText" dxfId="14" priority="2" operator="containsText" text="Ere">
      <formula>NOT(ISERROR(SEARCH("Ere",O38)))</formula>
    </cfRule>
    <cfRule type="containsText" dxfId="13" priority="3" operator="containsText" text="Ear">
      <formula>NOT(ISERROR(SEARCH("Ear",O38)))</formula>
    </cfRule>
    <cfRule type="containsText" dxfId="12" priority="4" operator="containsText" text="fnd">
      <formula>NOT(ISERROR(SEARCH("fnd",O38)))</formula>
    </cfRule>
  </conditionalFormatting>
  <conditionalFormatting sqref="W15:X15">
    <cfRule type="containsText" dxfId="11" priority="17" operator="containsText" text="Str">
      <formula>NOT(ISERROR(SEARCH("Str",W15)))</formula>
    </cfRule>
    <cfRule type="containsText" dxfId="10" priority="18" operator="containsText" text="Ere">
      <formula>NOT(ISERROR(SEARCH("Ere",W15)))</formula>
    </cfRule>
    <cfRule type="containsText" dxfId="9" priority="19" operator="containsText" text="Ear">
      <formula>NOT(ISERROR(SEARCH("Ear",W15)))</formula>
    </cfRule>
    <cfRule type="containsText" dxfId="8" priority="20" operator="containsText" text="fnd">
      <formula>NOT(ISERROR(SEARCH("fnd",W15)))</formula>
    </cfRule>
  </conditionalFormatting>
  <conditionalFormatting sqref="AO23">
    <cfRule type="containsText" dxfId="7" priority="21" operator="containsText" text="Str">
      <formula>NOT(ISERROR(SEARCH("Str",AO23)))</formula>
    </cfRule>
    <cfRule type="containsText" dxfId="6" priority="22" operator="containsText" text="Ere">
      <formula>NOT(ISERROR(SEARCH("Ere",AO23)))</formula>
    </cfRule>
    <cfRule type="containsText" dxfId="5" priority="23" operator="containsText" text="Ear">
      <formula>NOT(ISERROR(SEARCH("Ear",AO23)))</formula>
    </cfRule>
    <cfRule type="containsText" dxfId="4" priority="24" operator="containsText" text="fnd">
      <formula>NOT(ISERROR(SEARCH("fnd",AO23)))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21" workbookViewId="0">
      <selection activeCell="H22" sqref="H22"/>
    </sheetView>
  </sheetViews>
  <sheetFormatPr defaultColWidth="14.42578125" defaultRowHeight="15" customHeight="1"/>
  <cols>
    <col min="1" max="1" width="6.7109375" customWidth="1"/>
    <col min="2" max="2" width="16.7109375" customWidth="1"/>
    <col min="3" max="4" width="8.7109375" customWidth="1"/>
    <col min="5" max="5" width="10.7109375" customWidth="1"/>
    <col min="6" max="6" width="8.7109375" customWidth="1"/>
    <col min="7" max="7" width="9.140625" customWidth="1"/>
    <col min="8" max="8" width="18" customWidth="1"/>
    <col min="9" max="26" width="8.7109375" customWidth="1"/>
  </cols>
  <sheetData>
    <row r="1" spans="1:8" ht="18" customHeight="1">
      <c r="A1" s="885" t="str">
        <f>+Summary!A2</f>
        <v>Name of the Line: 220KV DC AL59 line from Neemuch - Chanderiya + 132KV DC ACSS Line from Chanderiya to Hindustan Zinc</v>
      </c>
      <c r="B1" s="576"/>
      <c r="C1" s="576"/>
      <c r="D1" s="576"/>
      <c r="E1" s="576"/>
      <c r="F1" s="576"/>
      <c r="G1" s="576"/>
      <c r="H1" s="886"/>
    </row>
    <row r="2" spans="1:8" ht="14.25" customHeight="1">
      <c r="A2" s="887" t="s">
        <v>646</v>
      </c>
      <c r="B2" s="584"/>
      <c r="C2" s="584"/>
      <c r="D2" s="584"/>
      <c r="E2" s="584"/>
      <c r="F2" s="584"/>
      <c r="G2" s="583"/>
      <c r="H2" s="224">
        <f>+Summary!R5</f>
        <v>46230</v>
      </c>
    </row>
    <row r="3" spans="1:8" ht="14.25" customHeight="1">
      <c r="A3" s="225" t="s">
        <v>2</v>
      </c>
      <c r="B3" s="9" t="s">
        <v>647</v>
      </c>
      <c r="C3" s="9" t="s">
        <v>357</v>
      </c>
      <c r="D3" s="9" t="s">
        <v>648</v>
      </c>
      <c r="E3" s="9" t="s">
        <v>649</v>
      </c>
      <c r="F3" s="9" t="s">
        <v>650</v>
      </c>
      <c r="G3" s="9" t="s">
        <v>372</v>
      </c>
      <c r="H3" s="226" t="s">
        <v>15</v>
      </c>
    </row>
    <row r="4" spans="1:8" ht="14.25" customHeight="1">
      <c r="A4" s="227">
        <v>1</v>
      </c>
      <c r="B4" s="204" t="s">
        <v>651</v>
      </c>
      <c r="C4" s="5" t="s">
        <v>380</v>
      </c>
      <c r="D4" s="5">
        <v>199</v>
      </c>
      <c r="E4" s="5">
        <v>202</v>
      </c>
      <c r="F4" s="5">
        <v>202</v>
      </c>
      <c r="G4" s="5">
        <f>E4-F4</f>
        <v>0</v>
      </c>
      <c r="H4" s="884"/>
    </row>
    <row r="5" spans="1:8" ht="14.25" customHeight="1">
      <c r="A5" s="227"/>
      <c r="B5" s="5" t="s">
        <v>652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882"/>
    </row>
    <row r="6" spans="1:8" ht="14.25" customHeight="1">
      <c r="A6" s="227"/>
      <c r="B6" s="5" t="s">
        <v>653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882"/>
    </row>
    <row r="7" spans="1:8" ht="14.25" customHeight="1">
      <c r="A7" s="227"/>
      <c r="B7" s="5" t="s">
        <v>654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882"/>
    </row>
    <row r="8" spans="1:8" ht="14.25" customHeight="1">
      <c r="A8" s="227"/>
      <c r="B8" s="5" t="s">
        <v>655</v>
      </c>
      <c r="C8" s="5" t="s">
        <v>380</v>
      </c>
      <c r="D8" s="15"/>
      <c r="E8" s="15">
        <v>18</v>
      </c>
      <c r="F8" s="15">
        <v>18</v>
      </c>
      <c r="G8" s="5">
        <f t="shared" si="0"/>
        <v>0</v>
      </c>
      <c r="H8" s="882"/>
    </row>
    <row r="9" spans="1:8" ht="14.25" customHeight="1">
      <c r="A9" s="22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882"/>
    </row>
    <row r="10" spans="1:8" ht="14.25" customHeight="1">
      <c r="A10" s="227"/>
      <c r="B10" s="5" t="s">
        <v>656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883"/>
    </row>
    <row r="11" spans="1:8" ht="14.25" customHeight="1">
      <c r="A11" s="227">
        <v>2</v>
      </c>
      <c r="B11" s="204" t="s">
        <v>657</v>
      </c>
      <c r="C11" s="5" t="s">
        <v>380</v>
      </c>
      <c r="D11" s="5">
        <v>199</v>
      </c>
      <c r="E11" s="5">
        <v>202</v>
      </c>
      <c r="F11" s="5">
        <v>202</v>
      </c>
      <c r="G11" s="5">
        <f t="shared" si="0"/>
        <v>0</v>
      </c>
      <c r="H11" s="884"/>
    </row>
    <row r="12" spans="1:8" ht="14.25" customHeight="1">
      <c r="A12" s="227"/>
      <c r="B12" s="5" t="s">
        <v>652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882"/>
    </row>
    <row r="13" spans="1:8" ht="14.25" customHeight="1">
      <c r="A13" s="227"/>
      <c r="B13" s="5" t="s">
        <v>653</v>
      </c>
      <c r="C13" s="5" t="s">
        <v>380</v>
      </c>
      <c r="D13" s="15"/>
      <c r="E13" s="15">
        <v>39</v>
      </c>
      <c r="F13" s="15">
        <v>39</v>
      </c>
      <c r="G13" s="5">
        <f t="shared" si="0"/>
        <v>0</v>
      </c>
      <c r="H13" s="882"/>
    </row>
    <row r="14" spans="1:8" ht="14.25" customHeight="1">
      <c r="A14" s="227"/>
      <c r="B14" s="5" t="s">
        <v>654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882"/>
    </row>
    <row r="15" spans="1:8" ht="14.25" customHeight="1">
      <c r="A15" s="228"/>
      <c r="B15" s="5" t="s">
        <v>655</v>
      </c>
      <c r="C15" s="5" t="s">
        <v>380</v>
      </c>
      <c r="D15" s="15"/>
      <c r="E15" s="15">
        <v>18</v>
      </c>
      <c r="F15" s="15">
        <v>18</v>
      </c>
      <c r="G15" s="5">
        <f t="shared" si="0"/>
        <v>0</v>
      </c>
      <c r="H15" s="883"/>
    </row>
    <row r="16" spans="1:8" ht="14.25" customHeight="1">
      <c r="A16" s="228"/>
      <c r="B16" s="5" t="s">
        <v>260</v>
      </c>
      <c r="C16" s="5" t="s">
        <v>380</v>
      </c>
      <c r="D16" s="15"/>
      <c r="E16" s="15">
        <v>6</v>
      </c>
      <c r="F16" s="15">
        <v>6</v>
      </c>
      <c r="G16" s="5">
        <f t="shared" si="0"/>
        <v>0</v>
      </c>
    </row>
    <row r="17" spans="1:8" ht="14.25" customHeight="1">
      <c r="A17" s="228"/>
      <c r="B17" s="5" t="s">
        <v>656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29"/>
    </row>
    <row r="18" spans="1:8" ht="14.25" customHeight="1">
      <c r="A18" s="227">
        <v>3</v>
      </c>
      <c r="B18" s="204" t="s">
        <v>658</v>
      </c>
      <c r="C18" s="5" t="s">
        <v>659</v>
      </c>
      <c r="D18" s="230">
        <v>1</v>
      </c>
      <c r="E18" s="230"/>
      <c r="F18" s="230">
        <v>1</v>
      </c>
      <c r="G18" s="230">
        <f>+D18-F18</f>
        <v>0</v>
      </c>
      <c r="H18" s="231"/>
    </row>
    <row r="19" spans="1:8" ht="14.25" customHeight="1">
      <c r="A19" s="232">
        <v>4</v>
      </c>
      <c r="B19" s="204" t="s">
        <v>660</v>
      </c>
      <c r="C19" s="5" t="s">
        <v>659</v>
      </c>
      <c r="D19" s="230">
        <v>1</v>
      </c>
      <c r="E19" s="230"/>
      <c r="F19" s="230">
        <v>1</v>
      </c>
      <c r="G19" s="230">
        <f t="shared" ref="G19:G20" si="1">+D19-F19</f>
        <v>0</v>
      </c>
      <c r="H19" s="231"/>
    </row>
    <row r="20" spans="1:8" ht="14.25" customHeight="1">
      <c r="A20" s="233">
        <v>5</v>
      </c>
      <c r="B20" s="234" t="s">
        <v>390</v>
      </c>
      <c r="C20" s="235" t="s">
        <v>659</v>
      </c>
      <c r="D20" s="236">
        <v>1</v>
      </c>
      <c r="E20" s="236"/>
      <c r="F20" s="236">
        <v>1</v>
      </c>
      <c r="G20" s="236">
        <f t="shared" si="1"/>
        <v>0</v>
      </c>
      <c r="H20" s="237"/>
    </row>
    <row r="21" spans="1:8" ht="14.25" customHeight="1"/>
    <row r="22" spans="1:8" ht="14.25" customHeight="1">
      <c r="A22" s="887" t="s">
        <v>661</v>
      </c>
      <c r="B22" s="584"/>
      <c r="C22" s="584"/>
      <c r="D22" s="584"/>
      <c r="E22" s="584"/>
      <c r="F22" s="584"/>
      <c r="G22" s="583"/>
      <c r="H22" s="224">
        <f>+Summary!R5</f>
        <v>46230</v>
      </c>
    </row>
    <row r="23" spans="1:8" ht="14.25" customHeight="1">
      <c r="A23" s="225" t="s">
        <v>2</v>
      </c>
      <c r="B23" s="9" t="s">
        <v>647</v>
      </c>
      <c r="C23" s="9" t="s">
        <v>357</v>
      </c>
      <c r="D23" s="9" t="s">
        <v>648</v>
      </c>
      <c r="E23" s="9" t="s">
        <v>649</v>
      </c>
      <c r="F23" s="9" t="s">
        <v>650</v>
      </c>
      <c r="G23" s="9" t="s">
        <v>372</v>
      </c>
      <c r="H23" s="226" t="s">
        <v>15</v>
      </c>
    </row>
    <row r="24" spans="1:8" ht="14.25" customHeight="1">
      <c r="A24" s="227">
        <v>1</v>
      </c>
      <c r="B24" s="204" t="s">
        <v>651</v>
      </c>
      <c r="C24" s="5" t="s">
        <v>380</v>
      </c>
      <c r="D24" s="5">
        <v>36</v>
      </c>
      <c r="E24" s="5">
        <v>36</v>
      </c>
      <c r="F24" s="5">
        <v>36</v>
      </c>
      <c r="G24" s="5">
        <f>+D24-F24</f>
        <v>0</v>
      </c>
      <c r="H24" s="881"/>
    </row>
    <row r="25" spans="1:8" ht="14.25" customHeight="1">
      <c r="A25" s="22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882"/>
    </row>
    <row r="26" spans="1:8" ht="14.25" customHeight="1">
      <c r="A26" s="22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883"/>
    </row>
    <row r="27" spans="1:8" ht="14.25" customHeight="1">
      <c r="A27" s="227"/>
      <c r="B27" s="5" t="s">
        <v>625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8" si="2">+D27-F27</f>
        <v>0</v>
      </c>
      <c r="H27" s="238"/>
    </row>
    <row r="28" spans="1:8" ht="14.25" customHeight="1">
      <c r="A28" s="227"/>
      <c r="B28" s="5" t="s">
        <v>662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38"/>
    </row>
    <row r="29" spans="1:8" ht="14.25" customHeight="1">
      <c r="A29" s="227">
        <v>2</v>
      </c>
      <c r="B29" s="204" t="s">
        <v>657</v>
      </c>
      <c r="C29" s="5" t="s">
        <v>380</v>
      </c>
      <c r="D29" s="5">
        <v>36</v>
      </c>
      <c r="E29" s="5">
        <v>36</v>
      </c>
      <c r="F29" s="5">
        <v>36</v>
      </c>
      <c r="G29" s="5">
        <f>+D29-F29</f>
        <v>0</v>
      </c>
      <c r="H29" s="884"/>
    </row>
    <row r="30" spans="1:8" ht="14.25" customHeight="1">
      <c r="A30" s="227"/>
      <c r="B30" s="5" t="s">
        <v>18</v>
      </c>
      <c r="C30" s="5" t="s">
        <v>380</v>
      </c>
      <c r="D30" s="15">
        <v>9</v>
      </c>
      <c r="E30" s="15">
        <v>9</v>
      </c>
      <c r="F30" s="15">
        <v>9</v>
      </c>
      <c r="G30" s="5">
        <f>+D30-F30</f>
        <v>0</v>
      </c>
      <c r="H30" s="882"/>
    </row>
    <row r="31" spans="1:8" ht="14.25" customHeight="1">
      <c r="A31" s="228"/>
      <c r="B31" s="5" t="s">
        <v>21</v>
      </c>
      <c r="C31" s="5" t="s">
        <v>380</v>
      </c>
      <c r="D31" s="15">
        <v>20</v>
      </c>
      <c r="E31" s="15">
        <v>20</v>
      </c>
      <c r="F31" s="15">
        <v>20</v>
      </c>
      <c r="G31" s="5">
        <f t="shared" ref="G31:G33" si="3">+D31-F31</f>
        <v>0</v>
      </c>
      <c r="H31" s="883"/>
    </row>
    <row r="32" spans="1:8" ht="14.25" customHeight="1">
      <c r="A32" s="228"/>
      <c r="B32" s="5" t="s">
        <v>625</v>
      </c>
      <c r="C32" s="5" t="s">
        <v>380</v>
      </c>
      <c r="D32" s="15">
        <v>6</v>
      </c>
      <c r="E32" s="15">
        <v>6</v>
      </c>
      <c r="F32" s="15">
        <v>6</v>
      </c>
      <c r="G32" s="5">
        <f t="shared" si="3"/>
        <v>0</v>
      </c>
      <c r="H32" s="231"/>
    </row>
    <row r="33" spans="1:8" ht="14.25" customHeight="1">
      <c r="A33" s="228"/>
      <c r="B33" s="5" t="s">
        <v>662</v>
      </c>
      <c r="C33" s="5" t="s">
        <v>380</v>
      </c>
      <c r="D33" s="15">
        <v>1</v>
      </c>
      <c r="E33" s="15">
        <v>1</v>
      </c>
      <c r="F33" s="15">
        <v>1</v>
      </c>
      <c r="G33" s="5">
        <f t="shared" si="3"/>
        <v>0</v>
      </c>
      <c r="H33" s="239"/>
    </row>
    <row r="34" spans="1:8" ht="14.25" customHeight="1">
      <c r="A34" s="227">
        <v>3</v>
      </c>
      <c r="B34" s="204" t="s">
        <v>658</v>
      </c>
      <c r="C34" s="5" t="s">
        <v>659</v>
      </c>
      <c r="D34" s="230">
        <v>1</v>
      </c>
      <c r="E34" s="230"/>
      <c r="F34" s="230">
        <v>1</v>
      </c>
      <c r="G34" s="230">
        <f t="shared" ref="G34:G36" si="4">+D34-F34</f>
        <v>0</v>
      </c>
      <c r="H34" s="231"/>
    </row>
    <row r="35" spans="1:8" ht="14.25" customHeight="1">
      <c r="A35" s="232">
        <v>4</v>
      </c>
      <c r="B35" s="204" t="s">
        <v>660</v>
      </c>
      <c r="C35" s="5" t="s">
        <v>659</v>
      </c>
      <c r="D35" s="230">
        <v>1</v>
      </c>
      <c r="E35" s="230"/>
      <c r="F35" s="230">
        <v>1</v>
      </c>
      <c r="G35" s="230">
        <f t="shared" si="4"/>
        <v>0</v>
      </c>
      <c r="H35" s="231"/>
    </row>
    <row r="36" spans="1:8" ht="14.25" customHeight="1">
      <c r="A36" s="233">
        <v>5</v>
      </c>
      <c r="B36" s="234" t="s">
        <v>390</v>
      </c>
      <c r="C36" s="235" t="s">
        <v>659</v>
      </c>
      <c r="D36" s="236">
        <v>1</v>
      </c>
      <c r="E36" s="236"/>
      <c r="F36" s="236">
        <v>1</v>
      </c>
      <c r="G36" s="236">
        <f t="shared" si="4"/>
        <v>0</v>
      </c>
      <c r="H36" s="237"/>
    </row>
  </sheetData>
  <mergeCells count="7">
    <mergeCell ref="H24:H26"/>
    <mergeCell ref="H29:H31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opLeftCell="D1" workbookViewId="0">
      <selection sqref="A1:P27"/>
    </sheetView>
  </sheetViews>
  <sheetFormatPr defaultColWidth="14.42578125" defaultRowHeight="15" customHeight="1"/>
  <cols>
    <col min="1" max="1" width="5" customWidth="1"/>
    <col min="2" max="2" width="15.7109375" customWidth="1"/>
    <col min="3" max="3" width="7.28515625" customWidth="1"/>
    <col min="4" max="4" width="7.5703125" customWidth="1"/>
    <col min="5" max="6" width="11.5703125" customWidth="1"/>
    <col min="7" max="7" width="9.42578125" customWidth="1"/>
    <col min="8" max="8" width="9" customWidth="1"/>
    <col min="9" max="9" width="8.7109375" customWidth="1"/>
    <col min="10" max="11" width="10.5703125" customWidth="1"/>
    <col min="12" max="12" width="7.85546875" customWidth="1"/>
    <col min="13" max="13" width="8.85546875" customWidth="1"/>
    <col min="14" max="15" width="9.28515625" customWidth="1"/>
    <col min="16" max="16" width="42.42578125" style="376" customWidth="1"/>
    <col min="17" max="26" width="9.140625" customWidth="1"/>
  </cols>
  <sheetData>
    <row r="1" spans="1:18" ht="20.25" customHeight="1">
      <c r="A1" s="575" t="str">
        <f>+Summary!A5</f>
        <v>Progress of 220kV Line</v>
      </c>
      <c r="B1" s="576"/>
      <c r="C1" s="576"/>
      <c r="D1" s="576"/>
      <c r="E1" s="576"/>
      <c r="F1" s="576"/>
      <c r="G1" s="576"/>
      <c r="H1" s="576"/>
      <c r="I1" s="576"/>
      <c r="J1" s="576"/>
      <c r="K1" s="576"/>
      <c r="L1" s="576"/>
      <c r="M1" s="576"/>
      <c r="N1" s="576"/>
      <c r="O1" s="240" t="s">
        <v>669</v>
      </c>
      <c r="P1" s="241">
        <f>+Summary!R5</f>
        <v>46230</v>
      </c>
      <c r="Q1" s="242"/>
      <c r="R1" s="242" t="s">
        <v>0</v>
      </c>
    </row>
    <row r="2" spans="1:18" ht="29.25" customHeight="1">
      <c r="A2" s="577" t="s">
        <v>355</v>
      </c>
      <c r="B2" s="579" t="s">
        <v>670</v>
      </c>
      <c r="C2" s="579" t="s">
        <v>357</v>
      </c>
      <c r="D2" s="581" t="s">
        <v>671</v>
      </c>
      <c r="E2" s="582" t="s">
        <v>672</v>
      </c>
      <c r="F2" s="583"/>
      <c r="G2" s="582" t="str">
        <f>+Summary!I6</f>
        <v>Progress of Current Month (July'26)</v>
      </c>
      <c r="H2" s="584"/>
      <c r="I2" s="583"/>
      <c r="J2" s="582" t="s">
        <v>361</v>
      </c>
      <c r="K2" s="584"/>
      <c r="L2" s="583"/>
      <c r="M2" s="582" t="str">
        <f>+Summary!O6</f>
        <v>Resources Status</v>
      </c>
      <c r="N2" s="584"/>
      <c r="O2" s="583"/>
      <c r="P2" s="585" t="s">
        <v>15</v>
      </c>
      <c r="Q2" s="242"/>
      <c r="R2" s="242"/>
    </row>
    <row r="3" spans="1:18" ht="12.75" customHeight="1">
      <c r="A3" s="578"/>
      <c r="B3" s="580"/>
      <c r="C3" s="580"/>
      <c r="D3" s="580"/>
      <c r="E3" s="243" t="s">
        <v>673</v>
      </c>
      <c r="F3" s="243" t="s">
        <v>674</v>
      </c>
      <c r="G3" s="243" t="s">
        <v>675</v>
      </c>
      <c r="H3" s="243" t="s">
        <v>676</v>
      </c>
      <c r="I3" s="243" t="s">
        <v>677</v>
      </c>
      <c r="J3" s="243" t="s">
        <v>675</v>
      </c>
      <c r="K3" s="243" t="s">
        <v>32</v>
      </c>
      <c r="L3" s="243" t="s">
        <v>372</v>
      </c>
      <c r="M3" s="244" t="str">
        <f>+Summary!O7</f>
        <v>Targeted Gang</v>
      </c>
      <c r="N3" s="244" t="str">
        <f>+Summary!P7</f>
        <v>Available Gang</v>
      </c>
      <c r="O3" s="244" t="str">
        <f>+Summary!Q7</f>
        <v>Shortfall
Gang</v>
      </c>
      <c r="P3" s="586"/>
      <c r="Q3" s="242"/>
      <c r="R3" s="242"/>
    </row>
    <row r="4" spans="1:18" ht="12.75" customHeight="1">
      <c r="A4" s="245">
        <v>1</v>
      </c>
      <c r="B4" s="246" t="s">
        <v>376</v>
      </c>
      <c r="C4" s="247" t="s">
        <v>678</v>
      </c>
      <c r="D4" s="248">
        <f>+Summary!D8</f>
        <v>64</v>
      </c>
      <c r="E4" s="248">
        <f>+Summary!G8</f>
        <v>64</v>
      </c>
      <c r="F4" s="248">
        <v>64.177999999999997</v>
      </c>
      <c r="G4" s="249">
        <f>+Summary!I8</f>
        <v>0</v>
      </c>
      <c r="H4" s="250">
        <f>+Summary!J8</f>
        <v>0</v>
      </c>
      <c r="I4" s="249" t="s">
        <v>416</v>
      </c>
      <c r="J4" s="249">
        <f>+Summary!L8</f>
        <v>64</v>
      </c>
      <c r="K4" s="249">
        <v>64.177999999999997</v>
      </c>
      <c r="L4" s="249">
        <f>+Summary!N8</f>
        <v>-0.17799999999999727</v>
      </c>
      <c r="M4" s="251" t="s">
        <v>416</v>
      </c>
      <c r="N4" s="251" t="s">
        <v>416</v>
      </c>
      <c r="O4" s="251">
        <f>+Summary!Q8</f>
        <v>0</v>
      </c>
      <c r="P4" s="382"/>
      <c r="Q4" s="242"/>
      <c r="R4" s="242"/>
    </row>
    <row r="5" spans="1:18" ht="32.25" customHeight="1">
      <c r="A5" s="245">
        <v>2</v>
      </c>
      <c r="B5" s="246" t="s">
        <v>378</v>
      </c>
      <c r="C5" s="247" t="s">
        <v>678</v>
      </c>
      <c r="D5" s="248">
        <f>+Summary!D9</f>
        <v>64</v>
      </c>
      <c r="E5" s="248">
        <f>+Summary!G9</f>
        <v>64</v>
      </c>
      <c r="F5" s="248">
        <v>62.39</v>
      </c>
      <c r="G5" s="248">
        <f>+Summary!I9</f>
        <v>0</v>
      </c>
      <c r="H5" s="250">
        <f>+Summary!J9</f>
        <v>0</v>
      </c>
      <c r="I5" s="248">
        <v>0</v>
      </c>
      <c r="J5" s="249">
        <f>+Summary!L9</f>
        <v>64</v>
      </c>
      <c r="K5" s="248">
        <f t="shared" ref="K5:K7" si="0">+F5+I5</f>
        <v>62.39</v>
      </c>
      <c r="L5" s="248">
        <f>+Summary!N9</f>
        <v>-0.17799999999999727</v>
      </c>
      <c r="M5" s="251">
        <f>+Summary!O9</f>
        <v>0</v>
      </c>
      <c r="N5" s="251">
        <f>+Summary!P9</f>
        <v>0</v>
      </c>
      <c r="O5" s="251">
        <f>+Summary!Q9</f>
        <v>0</v>
      </c>
      <c r="P5" s="382"/>
      <c r="Q5" s="242"/>
      <c r="R5" s="242"/>
    </row>
    <row r="6" spans="1:18" ht="12.75" customHeight="1">
      <c r="A6" s="245">
        <v>3</v>
      </c>
      <c r="B6" s="252" t="s">
        <v>379</v>
      </c>
      <c r="C6" s="247" t="s">
        <v>637</v>
      </c>
      <c r="D6" s="253">
        <f>+Summary!D10</f>
        <v>199</v>
      </c>
      <c r="E6" s="253">
        <f>+Summary!G10</f>
        <v>199</v>
      </c>
      <c r="F6" s="248">
        <f>+Summary!H10</f>
        <v>199</v>
      </c>
      <c r="G6" s="248">
        <f>+Summary!I10</f>
        <v>0</v>
      </c>
      <c r="H6" s="250">
        <v>0</v>
      </c>
      <c r="I6" s="248">
        <f>+Summary!K10</f>
        <v>0</v>
      </c>
      <c r="J6" s="249">
        <f>+Summary!L10</f>
        <v>199</v>
      </c>
      <c r="K6" s="248">
        <f t="shared" si="0"/>
        <v>199</v>
      </c>
      <c r="L6" s="248">
        <f>+Summary!N10</f>
        <v>0</v>
      </c>
      <c r="M6" s="587">
        <f>Summary!O10</f>
        <v>0</v>
      </c>
      <c r="N6" s="587">
        <f>Summary!P10</f>
        <v>0</v>
      </c>
      <c r="O6" s="587">
        <f>Summary!Q10</f>
        <v>0</v>
      </c>
      <c r="P6" s="573" t="str">
        <f>+Summary!R10</f>
        <v>6/0 Revetment WIP</v>
      </c>
      <c r="Q6" s="242"/>
      <c r="R6" s="242"/>
    </row>
    <row r="7" spans="1:18" ht="12.75" customHeight="1">
      <c r="A7" s="245">
        <v>4</v>
      </c>
      <c r="B7" s="252" t="s">
        <v>381</v>
      </c>
      <c r="C7" s="247" t="s">
        <v>637</v>
      </c>
      <c r="D7" s="253">
        <f>+Summary!D11</f>
        <v>199</v>
      </c>
      <c r="E7" s="253">
        <f>+Summary!G11</f>
        <v>199</v>
      </c>
      <c r="F7" s="248">
        <f>+Summary!H11</f>
        <v>199</v>
      </c>
      <c r="G7" s="248">
        <f>+Summary!I11</f>
        <v>0</v>
      </c>
      <c r="H7" s="250">
        <f>+Summary!J11</f>
        <v>0</v>
      </c>
      <c r="I7" s="248">
        <v>0</v>
      </c>
      <c r="J7" s="249">
        <f>+Summary!L11</f>
        <v>199</v>
      </c>
      <c r="K7" s="248">
        <f t="shared" si="0"/>
        <v>199</v>
      </c>
      <c r="L7" s="248">
        <f>+Summary!N11</f>
        <v>0</v>
      </c>
      <c r="M7" s="580"/>
      <c r="N7" s="580"/>
      <c r="O7" s="580"/>
      <c r="P7" s="574"/>
      <c r="Q7" s="242"/>
      <c r="R7" s="254"/>
    </row>
    <row r="8" spans="1:18" ht="12.75" customHeight="1">
      <c r="A8" s="245">
        <v>5</v>
      </c>
      <c r="B8" s="252" t="s">
        <v>382</v>
      </c>
      <c r="C8" s="247" t="s">
        <v>637</v>
      </c>
      <c r="D8" s="253">
        <f>+Summary!D12</f>
        <v>199</v>
      </c>
      <c r="E8" s="248">
        <f>Summary!G12</f>
        <v>199</v>
      </c>
      <c r="F8" s="248">
        <f>Summary!H12</f>
        <v>199</v>
      </c>
      <c r="G8" s="249">
        <f>Summary!I12</f>
        <v>0</v>
      </c>
      <c r="H8" s="250"/>
      <c r="I8" s="249">
        <f>Summary!K12</f>
        <v>0</v>
      </c>
      <c r="J8" s="249">
        <f>+Summary!L12</f>
        <v>199</v>
      </c>
      <c r="K8" s="249">
        <f>+Summary!M12</f>
        <v>199</v>
      </c>
      <c r="L8" s="249">
        <f>+Summary!N12</f>
        <v>0</v>
      </c>
      <c r="M8" s="247">
        <v>1</v>
      </c>
      <c r="N8" s="247">
        <v>1</v>
      </c>
      <c r="O8" s="247">
        <f>+Summary!Q12</f>
        <v>0</v>
      </c>
      <c r="P8" s="573">
        <f>+Summary!R12</f>
        <v>0</v>
      </c>
      <c r="Q8" s="242"/>
      <c r="R8" s="242"/>
    </row>
    <row r="9" spans="1:18" ht="12.75" customHeight="1">
      <c r="A9" s="245">
        <v>6</v>
      </c>
      <c r="B9" s="252" t="s">
        <v>470</v>
      </c>
      <c r="C9" s="247" t="s">
        <v>637</v>
      </c>
      <c r="D9" s="253">
        <f>Summary!D13</f>
        <v>199</v>
      </c>
      <c r="E9" s="248">
        <f>Summary!G13</f>
        <v>199</v>
      </c>
      <c r="F9" s="248">
        <f>Summary!H13</f>
        <v>194</v>
      </c>
      <c r="G9" s="249">
        <f>Summary!I13</f>
        <v>5</v>
      </c>
      <c r="H9" s="250">
        <f>+Summary!J13</f>
        <v>0</v>
      </c>
      <c r="I9" s="249">
        <f>+Summary!K13</f>
        <v>0</v>
      </c>
      <c r="J9" s="249">
        <f>+Summary!L13</f>
        <v>199</v>
      </c>
      <c r="K9" s="249">
        <f>+Summary!M13</f>
        <v>199</v>
      </c>
      <c r="L9" s="249">
        <f>+Summary!N13</f>
        <v>0</v>
      </c>
      <c r="M9" s="247">
        <f>+Summary!O13</f>
        <v>0</v>
      </c>
      <c r="N9" s="247">
        <f>+Summary!P13</f>
        <v>0</v>
      </c>
      <c r="O9" s="247">
        <f>+Summary!Q13</f>
        <v>0</v>
      </c>
      <c r="P9" s="574"/>
      <c r="Q9" s="242"/>
      <c r="R9" s="242"/>
    </row>
    <row r="10" spans="1:18" ht="12.75" customHeight="1">
      <c r="A10" s="245">
        <v>7</v>
      </c>
      <c r="B10" s="252" t="s">
        <v>384</v>
      </c>
      <c r="C10" s="247"/>
      <c r="D10" s="248"/>
      <c r="E10" s="248"/>
      <c r="F10" s="248"/>
      <c r="G10" s="248"/>
      <c r="H10" s="248"/>
      <c r="I10" s="248"/>
      <c r="J10" s="248"/>
      <c r="K10" s="248"/>
      <c r="L10" s="248"/>
      <c r="M10" s="247"/>
      <c r="N10" s="247"/>
      <c r="O10" s="247"/>
      <c r="P10" s="570">
        <f>Summary!R14</f>
        <v>0</v>
      </c>
      <c r="Q10" s="242"/>
      <c r="R10" s="242"/>
    </row>
    <row r="11" spans="1:18" ht="29.45" customHeight="1">
      <c r="A11" s="245" t="s">
        <v>385</v>
      </c>
      <c r="B11" s="256" t="s">
        <v>386</v>
      </c>
      <c r="C11" s="247" t="s">
        <v>679</v>
      </c>
      <c r="D11" s="248">
        <f>+Summary!D14</f>
        <v>0</v>
      </c>
      <c r="E11" s="248">
        <f>+Summary!G15</f>
        <v>64</v>
      </c>
      <c r="F11" s="474">
        <f>+Summary!H15</f>
        <v>61.2</v>
      </c>
      <c r="G11" s="248">
        <f>+Summary!I15</f>
        <v>2.7999999999999972</v>
      </c>
      <c r="H11" s="250">
        <f>+Summary!J15</f>
        <v>0</v>
      </c>
      <c r="I11" s="248">
        <f>+Summary!K15</f>
        <v>2.8251009999999894</v>
      </c>
      <c r="J11" s="248">
        <f t="shared" ref="J11:J12" si="1">J10</f>
        <v>0</v>
      </c>
      <c r="K11" s="248">
        <f>+Summary!M15</f>
        <v>64.025100999999992</v>
      </c>
      <c r="L11" s="474">
        <f>+Summary!N15</f>
        <v>4.8990000000088685E-3</v>
      </c>
      <c r="M11" s="251">
        <f>+Summary!O15</f>
        <v>0</v>
      </c>
      <c r="N11" s="251">
        <f>+Summary!P15</f>
        <v>0</v>
      </c>
      <c r="O11" s="251">
        <f>+Summary!Q15</f>
        <v>0</v>
      </c>
      <c r="P11" s="571"/>
      <c r="Q11" s="242"/>
      <c r="R11" s="242"/>
    </row>
    <row r="12" spans="1:18" ht="12.75" customHeight="1">
      <c r="A12" s="245" t="s">
        <v>387</v>
      </c>
      <c r="B12" s="256" t="s">
        <v>388</v>
      </c>
      <c r="C12" s="247" t="s">
        <v>679</v>
      </c>
      <c r="D12" s="248">
        <f>+Summary!D16</f>
        <v>64.03</v>
      </c>
      <c r="E12" s="248">
        <f>+Summary!G16</f>
        <v>64</v>
      </c>
      <c r="F12" s="474">
        <f>+Summary!H16</f>
        <v>61.2</v>
      </c>
      <c r="G12" s="248">
        <f>+Summary!I16</f>
        <v>2.7999999999999972</v>
      </c>
      <c r="H12" s="250">
        <f>+Summary!J16</f>
        <v>0</v>
      </c>
      <c r="I12" s="248">
        <f>+Summary!K16</f>
        <v>2.8251009999999894</v>
      </c>
      <c r="J12" s="248">
        <f t="shared" si="1"/>
        <v>0</v>
      </c>
      <c r="K12" s="248">
        <f>+Summary!M16</f>
        <v>64.025100999999992</v>
      </c>
      <c r="L12" s="474">
        <f>+Summary!N16</f>
        <v>4.8990000000088685E-3</v>
      </c>
      <c r="M12" s="251">
        <f>+Summary!O16</f>
        <v>0</v>
      </c>
      <c r="N12" s="251">
        <f>+Summary!P16</f>
        <v>0</v>
      </c>
      <c r="O12" s="251">
        <f>+Summary!Q16</f>
        <v>0</v>
      </c>
      <c r="P12" s="588"/>
      <c r="Q12" s="242"/>
      <c r="R12" s="242"/>
    </row>
    <row r="13" spans="1:18" ht="42.75" customHeight="1" thickBot="1">
      <c r="A13" s="257" t="s">
        <v>389</v>
      </c>
      <c r="B13" s="258" t="s">
        <v>390</v>
      </c>
      <c r="C13" s="259" t="s">
        <v>679</v>
      </c>
      <c r="D13" s="260">
        <f>Summary!D17</f>
        <v>64.03</v>
      </c>
      <c r="E13" s="260">
        <f>+Summary!G17</f>
        <v>64</v>
      </c>
      <c r="F13" s="260">
        <f>+Summary!H17</f>
        <v>53.721834999999999</v>
      </c>
      <c r="G13" s="260">
        <f>+Summary!I17</f>
        <v>10.278165000000001</v>
      </c>
      <c r="H13" s="260">
        <f>+Summary!J17</f>
        <v>0</v>
      </c>
      <c r="I13" s="260">
        <f>+Summary!K17</f>
        <v>10.336265999999995</v>
      </c>
      <c r="J13" s="260">
        <f>+Summary!L17</f>
        <v>64</v>
      </c>
      <c r="K13" s="475">
        <f>+Summary!M17</f>
        <v>64.058100999999994</v>
      </c>
      <c r="L13" s="260">
        <f>+Summary!N17</f>
        <v>-2.8100999999992382E-2</v>
      </c>
      <c r="M13" s="260">
        <f>+Summary!O17</f>
        <v>0</v>
      </c>
      <c r="N13" s="260">
        <f>+Summary!P17</f>
        <v>0</v>
      </c>
      <c r="O13" s="260">
        <f>+Summary!Q17</f>
        <v>0</v>
      </c>
      <c r="P13" s="558">
        <f>Summary!R17</f>
        <v>0</v>
      </c>
      <c r="Q13" s="242"/>
      <c r="R13" s="242"/>
    </row>
    <row r="14" spans="1:18" ht="12.75" customHeight="1" thickBot="1">
      <c r="A14" s="242"/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383"/>
      <c r="Q14" s="242"/>
      <c r="R14" s="242"/>
    </row>
    <row r="15" spans="1:18" ht="12.75" customHeight="1" thickBot="1">
      <c r="A15" s="575" t="str">
        <f>+Summary!A19</f>
        <v>Progress of 132kV Line</v>
      </c>
      <c r="B15" s="576"/>
      <c r="C15" s="576"/>
      <c r="D15" s="576"/>
      <c r="E15" s="576"/>
      <c r="F15" s="576"/>
      <c r="G15" s="576"/>
      <c r="H15" s="576"/>
      <c r="I15" s="576"/>
      <c r="J15" s="576"/>
      <c r="K15" s="576"/>
      <c r="L15" s="576"/>
      <c r="M15" s="576"/>
      <c r="N15" s="576"/>
      <c r="O15" s="240" t="s">
        <v>669</v>
      </c>
      <c r="P15" s="241">
        <f>+Summary!R19</f>
        <v>46230</v>
      </c>
      <c r="Q15" s="242"/>
      <c r="R15" s="242"/>
    </row>
    <row r="16" spans="1:18" ht="28.5" customHeight="1">
      <c r="A16" s="577" t="s">
        <v>355</v>
      </c>
      <c r="B16" s="579" t="s">
        <v>670</v>
      </c>
      <c r="C16" s="579" t="s">
        <v>357</v>
      </c>
      <c r="D16" s="581" t="s">
        <v>671</v>
      </c>
      <c r="E16" s="582" t="s">
        <v>672</v>
      </c>
      <c r="F16" s="583"/>
      <c r="G16" s="582" t="str">
        <f>+Summary!I20</f>
        <v>Progress of Current Month (July'26)</v>
      </c>
      <c r="H16" s="584"/>
      <c r="I16" s="583"/>
      <c r="J16" s="582" t="s">
        <v>361</v>
      </c>
      <c r="K16" s="584"/>
      <c r="L16" s="583"/>
      <c r="M16" s="582" t="str">
        <f>+Summary!O20</f>
        <v>Resources Status</v>
      </c>
      <c r="N16" s="584"/>
      <c r="O16" s="583"/>
      <c r="P16" s="585" t="s">
        <v>15</v>
      </c>
      <c r="Q16" s="242"/>
      <c r="R16" s="242"/>
    </row>
    <row r="17" spans="1:16" ht="12.75" customHeight="1">
      <c r="A17" s="578"/>
      <c r="B17" s="580"/>
      <c r="C17" s="580"/>
      <c r="D17" s="580"/>
      <c r="E17" s="243" t="s">
        <v>673</v>
      </c>
      <c r="F17" s="243" t="s">
        <v>674</v>
      </c>
      <c r="G17" s="243" t="s">
        <v>675</v>
      </c>
      <c r="H17" s="243" t="s">
        <v>676</v>
      </c>
      <c r="I17" s="243" t="s">
        <v>677</v>
      </c>
      <c r="J17" s="243" t="s">
        <v>675</v>
      </c>
      <c r="K17" s="243" t="s">
        <v>32</v>
      </c>
      <c r="L17" s="243" t="s">
        <v>372</v>
      </c>
      <c r="M17" s="244" t="str">
        <f>+Summary!O21</f>
        <v>Targeted Gang</v>
      </c>
      <c r="N17" s="244" t="str">
        <f>+Summary!P21</f>
        <v>Available Gang</v>
      </c>
      <c r="O17" s="244" t="str">
        <f>+Summary!Q21</f>
        <v>Shortfall
Gang</v>
      </c>
      <c r="P17" s="586"/>
    </row>
    <row r="18" spans="1:16" ht="12.75" customHeight="1">
      <c r="A18" s="245">
        <v>1</v>
      </c>
      <c r="B18" s="246" t="s">
        <v>376</v>
      </c>
      <c r="C18" s="247" t="s">
        <v>678</v>
      </c>
      <c r="D18" s="248">
        <f>+Summary!D22</f>
        <v>9</v>
      </c>
      <c r="E18" s="248">
        <f>+Summary!G22</f>
        <v>9</v>
      </c>
      <c r="F18" s="248">
        <f>+Summary!H22</f>
        <v>9</v>
      </c>
      <c r="G18" s="248">
        <f>+Summary!I22</f>
        <v>0</v>
      </c>
      <c r="H18" s="250">
        <f>+Summary!J22</f>
        <v>0</v>
      </c>
      <c r="I18" s="261">
        <f>+Summary!K22</f>
        <v>0</v>
      </c>
      <c r="J18" s="249">
        <f>+Summary!L22</f>
        <v>9</v>
      </c>
      <c r="K18" s="249">
        <f>+Summary!M22</f>
        <v>9</v>
      </c>
      <c r="L18" s="249">
        <f>+Summary!N22</f>
        <v>0</v>
      </c>
      <c r="M18" s="251">
        <f>+Summary!O22</f>
        <v>0</v>
      </c>
      <c r="N18" s="251">
        <f>+Summary!P22</f>
        <v>0</v>
      </c>
      <c r="O18" s="251">
        <f>+Summary!Q22</f>
        <v>0</v>
      </c>
      <c r="P18" s="262">
        <f>+Summary!R22</f>
        <v>0</v>
      </c>
    </row>
    <row r="19" spans="1:16" ht="12.75" customHeight="1">
      <c r="A19" s="245">
        <v>2</v>
      </c>
      <c r="B19" s="246" t="s">
        <v>378</v>
      </c>
      <c r="C19" s="247" t="s">
        <v>678</v>
      </c>
      <c r="D19" s="248">
        <f>+Summary!D23</f>
        <v>9</v>
      </c>
      <c r="E19" s="248">
        <f>+Summary!G23</f>
        <v>9</v>
      </c>
      <c r="F19" s="248">
        <f>+Summary!H23</f>
        <v>9</v>
      </c>
      <c r="G19" s="248">
        <f>+Summary!I23</f>
        <v>0</v>
      </c>
      <c r="H19" s="250">
        <f>+Summary!J23</f>
        <v>0</v>
      </c>
      <c r="I19" s="263">
        <f>+Summary!K23</f>
        <v>0</v>
      </c>
      <c r="J19" s="249">
        <f>+Summary!L23</f>
        <v>9</v>
      </c>
      <c r="K19" s="248">
        <f t="shared" ref="K19:K21" si="2">+F19+I19</f>
        <v>9</v>
      </c>
      <c r="L19" s="248">
        <f>+Summary!N23</f>
        <v>0</v>
      </c>
      <c r="M19" s="251">
        <f>+Summary!O23</f>
        <v>0</v>
      </c>
      <c r="N19" s="251">
        <f>+Summary!P23</f>
        <v>0</v>
      </c>
      <c r="O19" s="251">
        <f>+Summary!Q23</f>
        <v>0</v>
      </c>
      <c r="P19" s="255">
        <f>+Summary!R23</f>
        <v>0</v>
      </c>
    </row>
    <row r="20" spans="1:16" ht="39.6" customHeight="1">
      <c r="A20" s="245">
        <v>3</v>
      </c>
      <c r="B20" s="252" t="s">
        <v>379</v>
      </c>
      <c r="C20" s="247" t="s">
        <v>637</v>
      </c>
      <c r="D20" s="253">
        <f>+Summary!D24</f>
        <v>39</v>
      </c>
      <c r="E20" s="253">
        <f>+Summary!G24</f>
        <v>39</v>
      </c>
      <c r="F20" s="248">
        <f>+Summary!H24</f>
        <v>36</v>
      </c>
      <c r="G20" s="248">
        <f>+Summary!I24</f>
        <v>3</v>
      </c>
      <c r="H20" s="250">
        <f>+Summary!J24</f>
        <v>0</v>
      </c>
      <c r="I20" s="264">
        <f>+Summary!K24</f>
        <v>1</v>
      </c>
      <c r="J20" s="249">
        <f>+Summary!L24</f>
        <v>39</v>
      </c>
      <c r="K20" s="248">
        <f t="shared" si="2"/>
        <v>37</v>
      </c>
      <c r="L20" s="248">
        <f>+Summary!N24</f>
        <v>0</v>
      </c>
      <c r="M20" s="589">
        <f>Summary!O24</f>
        <v>0</v>
      </c>
      <c r="N20" s="589">
        <f>Summary!P24</f>
        <v>0</v>
      </c>
      <c r="O20" s="589">
        <f>Summary!Q24</f>
        <v>0</v>
      </c>
      <c r="P20" s="573">
        <f>+Summary!R24</f>
        <v>0</v>
      </c>
    </row>
    <row r="21" spans="1:16" ht="39.6" customHeight="1">
      <c r="A21" s="245">
        <v>4</v>
      </c>
      <c r="B21" s="252" t="s">
        <v>381</v>
      </c>
      <c r="C21" s="247" t="s">
        <v>637</v>
      </c>
      <c r="D21" s="253">
        <f>+Summary!D25</f>
        <v>39</v>
      </c>
      <c r="E21" s="253">
        <f>+Summary!G25</f>
        <v>36</v>
      </c>
      <c r="F21" s="248">
        <f>+Summary!H25</f>
        <v>34</v>
      </c>
      <c r="G21" s="248">
        <f>+Summary!I25</f>
        <v>5</v>
      </c>
      <c r="H21" s="250">
        <f>+Summary!J25</f>
        <v>0</v>
      </c>
      <c r="I21" s="264">
        <f>+Summary!K25</f>
        <v>5</v>
      </c>
      <c r="J21" s="249">
        <f>+Summary!L25</f>
        <v>39</v>
      </c>
      <c r="K21" s="248">
        <f t="shared" si="2"/>
        <v>39</v>
      </c>
      <c r="L21" s="248">
        <f>+Summary!N25</f>
        <v>0</v>
      </c>
      <c r="M21" s="580"/>
      <c r="N21" s="580"/>
      <c r="O21" s="580"/>
      <c r="P21" s="574"/>
    </row>
    <row r="22" spans="1:16" ht="12.75" customHeight="1">
      <c r="A22" s="245">
        <v>5</v>
      </c>
      <c r="B22" s="252" t="s">
        <v>382</v>
      </c>
      <c r="C22" s="247" t="s">
        <v>637</v>
      </c>
      <c r="D22" s="253">
        <f>+Summary!D26</f>
        <v>39</v>
      </c>
      <c r="E22" s="248">
        <f>Summary!G26</f>
        <v>39</v>
      </c>
      <c r="F22" s="248">
        <f>Summary!H26</f>
        <v>31</v>
      </c>
      <c r="G22" s="248">
        <f>Summary!I26</f>
        <v>5</v>
      </c>
      <c r="H22" s="250">
        <f>Summary!J26</f>
        <v>0</v>
      </c>
      <c r="I22" s="248">
        <f>Summary!K26</f>
        <v>4</v>
      </c>
      <c r="J22" s="249">
        <f>+Summary!L26</f>
        <v>39</v>
      </c>
      <c r="K22" s="249">
        <f>+Summary!M26</f>
        <v>35</v>
      </c>
      <c r="L22" s="249">
        <f>+Summary!N26</f>
        <v>4</v>
      </c>
      <c r="M22" s="247">
        <f>+Summary!O26</f>
        <v>1</v>
      </c>
      <c r="N22" s="247">
        <f>+Summary!P26</f>
        <v>1</v>
      </c>
      <c r="O22" s="247">
        <f>+Summary!Q26</f>
        <v>0</v>
      </c>
      <c r="P22" s="570" t="str">
        <f>Summary!R26</f>
        <v>SC-2 Erection WIP, Entire Balance work is from CPP to Hydro inside HZL (Additional Scope)</v>
      </c>
    </row>
    <row r="23" spans="1:16" ht="12.75" customHeight="1">
      <c r="A23" s="245">
        <v>6</v>
      </c>
      <c r="B23" s="252" t="s">
        <v>470</v>
      </c>
      <c r="C23" s="247" t="s">
        <v>637</v>
      </c>
      <c r="D23" s="253">
        <f>Summary!D27</f>
        <v>39</v>
      </c>
      <c r="E23" s="248">
        <f>Summary!G27</f>
        <v>39</v>
      </c>
      <c r="F23" s="248">
        <f>Summary!H27</f>
        <v>29</v>
      </c>
      <c r="G23" s="248">
        <f>Summary!I27</f>
        <v>0</v>
      </c>
      <c r="H23" s="250">
        <f>+Summary!J27</f>
        <v>2</v>
      </c>
      <c r="I23" s="248">
        <f>+Summary!K27</f>
        <v>5</v>
      </c>
      <c r="J23" s="249">
        <f>+Summary!L27</f>
        <v>39</v>
      </c>
      <c r="K23" s="249">
        <f>+Summary!M27</f>
        <v>34</v>
      </c>
      <c r="L23" s="249">
        <f>+Summary!N27</f>
        <v>5</v>
      </c>
      <c r="M23" s="247">
        <f>+Summary!O27</f>
        <v>1</v>
      </c>
      <c r="N23" s="247">
        <f>+Summary!P27</f>
        <v>0</v>
      </c>
      <c r="O23" s="247">
        <f>+Summary!Q27</f>
        <v>0</v>
      </c>
      <c r="P23" s="571"/>
    </row>
    <row r="24" spans="1:16" ht="12.75" customHeight="1">
      <c r="A24" s="245">
        <v>7</v>
      </c>
      <c r="B24" s="252" t="s">
        <v>384</v>
      </c>
      <c r="C24" s="247"/>
      <c r="D24" s="248"/>
      <c r="E24" s="248"/>
      <c r="F24" s="248"/>
      <c r="G24" s="248"/>
      <c r="H24" s="248"/>
      <c r="I24" s="248"/>
      <c r="J24" s="248"/>
      <c r="K24" s="248"/>
      <c r="L24" s="248"/>
      <c r="M24" s="247"/>
      <c r="N24" s="247"/>
      <c r="O24" s="247"/>
      <c r="P24" s="571"/>
    </row>
    <row r="25" spans="1:16" ht="20.100000000000001" customHeight="1">
      <c r="A25" s="245" t="s">
        <v>385</v>
      </c>
      <c r="B25" s="256" t="s">
        <v>386</v>
      </c>
      <c r="C25" s="247" t="s">
        <v>679</v>
      </c>
      <c r="D25" s="248">
        <v>9</v>
      </c>
      <c r="E25" s="248">
        <f>+Summary!G29</f>
        <v>9</v>
      </c>
      <c r="F25" s="248">
        <f>+Summary!H29</f>
        <v>6.2309999999999999</v>
      </c>
      <c r="G25" s="248">
        <f>+Summary!I29</f>
        <v>3.0090000000000003</v>
      </c>
      <c r="H25" s="250">
        <f>+Summary!J29</f>
        <v>0</v>
      </c>
      <c r="I25" s="248">
        <f>+Summary!K29</f>
        <v>0.74560000000000048</v>
      </c>
      <c r="J25" s="474">
        <f>E25</f>
        <v>9</v>
      </c>
      <c r="K25" s="474">
        <f>+Summary!M29</f>
        <v>6.9766000000000004</v>
      </c>
      <c r="L25" s="248">
        <f>+Summary!N29</f>
        <v>2.2633999999999999</v>
      </c>
      <c r="M25" s="247">
        <f>+Summary!O29</f>
        <v>1</v>
      </c>
      <c r="N25" s="247">
        <f>+Summary!P29</f>
        <v>1</v>
      </c>
      <c r="O25" s="247">
        <f>+Summary!Q29</f>
        <v>0</v>
      </c>
      <c r="P25" s="571"/>
    </row>
    <row r="26" spans="1:16" ht="20.100000000000001" customHeight="1">
      <c r="A26" s="245" t="s">
        <v>387</v>
      </c>
      <c r="B26" s="256" t="s">
        <v>388</v>
      </c>
      <c r="C26" s="247" t="s">
        <v>679</v>
      </c>
      <c r="D26" s="248">
        <f>+Summary!D30</f>
        <v>9.24</v>
      </c>
      <c r="E26" s="248">
        <f>+Summary!G30</f>
        <v>9</v>
      </c>
      <c r="F26" s="248">
        <f>+Summary!H30</f>
        <v>6.2309999999999999</v>
      </c>
      <c r="G26" s="248">
        <f>+Summary!I30</f>
        <v>3.0090000000000003</v>
      </c>
      <c r="H26" s="250">
        <f>+Summary!J30</f>
        <v>0</v>
      </c>
      <c r="I26" s="248">
        <f>+Summary!K30</f>
        <v>0.74560000000000048</v>
      </c>
      <c r="J26" s="474">
        <f>E26</f>
        <v>9</v>
      </c>
      <c r="K26" s="474">
        <f>+Summary!M30</f>
        <v>6.9766000000000004</v>
      </c>
      <c r="L26" s="248">
        <f>+Summary!N30</f>
        <v>2.2633999999999999</v>
      </c>
      <c r="M26" s="247">
        <f>+Summary!O30</f>
        <v>0</v>
      </c>
      <c r="N26" s="247">
        <f>+Summary!P30</f>
        <v>0</v>
      </c>
      <c r="O26" s="247">
        <f>+Summary!Q30</f>
        <v>0</v>
      </c>
      <c r="P26" s="571"/>
    </row>
    <row r="27" spans="1:16" ht="27" customHeight="1" thickBot="1">
      <c r="A27" s="257" t="s">
        <v>389</v>
      </c>
      <c r="B27" s="258" t="s">
        <v>390</v>
      </c>
      <c r="C27" s="259" t="s">
        <v>679</v>
      </c>
      <c r="D27" s="260">
        <f>Summary!D31</f>
        <v>9.24</v>
      </c>
      <c r="E27" s="260">
        <f>+Summary!G31</f>
        <v>9</v>
      </c>
      <c r="F27" s="260">
        <f>+Summary!H31</f>
        <v>0</v>
      </c>
      <c r="G27" s="260">
        <f>+Summary!I31</f>
        <v>9</v>
      </c>
      <c r="H27" s="265">
        <f>+Summary!J31</f>
        <v>0</v>
      </c>
      <c r="I27" s="260">
        <f>+Summary!K31</f>
        <v>6.9766000000000004</v>
      </c>
      <c r="J27" s="475">
        <f>+Summary!L31</f>
        <v>9</v>
      </c>
      <c r="K27" s="475">
        <f>+Summary!M31</f>
        <v>6.9766000000000004</v>
      </c>
      <c r="L27" s="260">
        <f>+Summary!N31</f>
        <v>2.2633999999999999</v>
      </c>
      <c r="M27" s="260">
        <f>+Summary!O31</f>
        <v>1</v>
      </c>
      <c r="N27" s="260">
        <f>+Summary!P31</f>
        <v>0</v>
      </c>
      <c r="O27" s="260">
        <f>+Summary!Q31</f>
        <v>1</v>
      </c>
      <c r="P27" s="572"/>
    </row>
  </sheetData>
  <mergeCells count="31"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  <mergeCell ref="P22:P27"/>
    <mergeCell ref="P8:P9"/>
    <mergeCell ref="A1:N1"/>
    <mergeCell ref="A2:A3"/>
    <mergeCell ref="B2:B3"/>
    <mergeCell ref="C2:C3"/>
    <mergeCell ref="D2:D3"/>
    <mergeCell ref="E2:F2"/>
    <mergeCell ref="G2:I2"/>
    <mergeCell ref="P2:P3"/>
    <mergeCell ref="J2:L2"/>
    <mergeCell ref="M2:O2"/>
    <mergeCell ref="M6:M7"/>
    <mergeCell ref="N6:N7"/>
    <mergeCell ref="O6:O7"/>
    <mergeCell ref="P6:P7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Saksham Singh</cp:lastModifiedBy>
  <cp:lastPrinted>2026-03-21T05:33:41Z</cp:lastPrinted>
  <dcterms:created xsi:type="dcterms:W3CDTF">2024-04-23T13:04:27Z</dcterms:created>
  <dcterms:modified xsi:type="dcterms:W3CDTF">2026-07-27T16:41:31Z</dcterms:modified>
</cp:coreProperties>
</file>